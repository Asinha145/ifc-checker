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laingorourke.sharepoint.com/sites/AvonmouthReinforcementManufacturingFacility2/Shared Documents/13. TECHNICAL/Digital Build/Firma/685. 2HPXRF35AS1/"/>
    </mc:Choice>
  </mc:AlternateContent>
  <xr:revisionPtr revIDLastSave="83" documentId="13_ncr:1_{5AF292DA-AA99-4CE9-B143-0D2A13036C89}" xr6:coauthVersionLast="47" xr6:coauthVersionMax="47" xr10:uidLastSave="{57573A2A-082E-4EFA-8A4A-CF8DC9A855BB}"/>
  <bookViews>
    <workbookView xWindow="-120" yWindow="-120" windowWidth="38640" windowHeight="21120" xr2:uid="{00000000-000D-0000-FFFF-FFFF00000000}"/>
  </bookViews>
  <sheets>
    <sheet name="INPUT SPAN RESULTS" sheetId="60" r:id="rId1"/>
    <sheet name="CALCULATION" sheetId="61" r:id="rId2"/>
  </sheets>
  <definedNames>
    <definedName name="_xlnm.Print_Area" localSheetId="1">CALCULATION!$A$1:$AS$39</definedName>
    <definedName name="_xlnm.Print_Area" localSheetId="0">'INPUT SPAN RESULTS'!$A$5:$AO$51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5" i="61" l="1"/>
  <c r="R35" i="61" l="1"/>
  <c r="Z35" i="61" l="1"/>
  <c r="O35" i="61"/>
  <c r="P35" i="61"/>
  <c r="Q35" i="61"/>
  <c r="T35" i="61"/>
  <c r="U35" i="61"/>
  <c r="V35" i="61"/>
  <c r="W35" i="61"/>
  <c r="N35" i="61"/>
  <c r="I35" i="61"/>
  <c r="M35" i="61" s="1"/>
  <c r="M36" i="60" s="1"/>
  <c r="J35" i="61"/>
  <c r="K35" i="61"/>
  <c r="H35" i="61"/>
  <c r="G35" i="61"/>
  <c r="AH34" i="61"/>
  <c r="M34" i="61"/>
  <c r="AI34" i="61" s="1"/>
  <c r="L34" i="61"/>
  <c r="AJ34" i="61" s="1"/>
  <c r="AH33" i="61"/>
  <c r="M33" i="61"/>
  <c r="L33" i="61"/>
  <c r="AJ33" i="61" s="1"/>
  <c r="AH32" i="61"/>
  <c r="M32" i="61"/>
  <c r="AI32" i="61" s="1"/>
  <c r="L32" i="61"/>
  <c r="AJ32" i="61" s="1"/>
  <c r="AJ19" i="61"/>
  <c r="AM19" i="61" s="1"/>
  <c r="V19" i="61"/>
  <c r="S19" i="61"/>
  <c r="Y19" i="61" s="1"/>
  <c r="K19" i="61"/>
  <c r="I19" i="61"/>
  <c r="AJ18" i="61"/>
  <c r="AM18" i="61" s="1"/>
  <c r="V18" i="61"/>
  <c r="S18" i="61"/>
  <c r="Y18" i="61" s="1"/>
  <c r="K18" i="61"/>
  <c r="I18" i="61"/>
  <c r="AJ17" i="61"/>
  <c r="AM17" i="61" s="1"/>
  <c r="V17" i="61"/>
  <c r="S17" i="61"/>
  <c r="Y17" i="61" s="1"/>
  <c r="K17" i="61"/>
  <c r="I17" i="61"/>
  <c r="P17" i="61" s="1"/>
  <c r="AJ16" i="61"/>
  <c r="AM16" i="61" s="1"/>
  <c r="V16" i="61"/>
  <c r="S16" i="61"/>
  <c r="Y16" i="61" s="1"/>
  <c r="K16" i="61"/>
  <c r="I16" i="61"/>
  <c r="AJ15" i="61"/>
  <c r="AM15" i="61" s="1"/>
  <c r="V15" i="61"/>
  <c r="S15" i="61"/>
  <c r="Y15" i="61" s="1"/>
  <c r="K15" i="61"/>
  <c r="I15" i="61"/>
  <c r="AJ14" i="61"/>
  <c r="AM14" i="61" s="1"/>
  <c r="P12" i="61"/>
  <c r="M34" i="60"/>
  <c r="M35" i="60"/>
  <c r="M33" i="60"/>
  <c r="AJ15" i="60"/>
  <c r="AJ16" i="60"/>
  <c r="AJ17" i="60"/>
  <c r="AJ18" i="60"/>
  <c r="AJ19" i="60"/>
  <c r="AJ14" i="60"/>
  <c r="L36" i="60"/>
  <c r="L35" i="61" s="1"/>
  <c r="AH35" i="60"/>
  <c r="L35" i="60"/>
  <c r="AH34" i="60"/>
  <c r="L34" i="60"/>
  <c r="AH33" i="60"/>
  <c r="L33" i="60"/>
  <c r="V19" i="60"/>
  <c r="S19" i="60"/>
  <c r="Y19" i="60" s="1"/>
  <c r="K19" i="60"/>
  <c r="I19" i="60"/>
  <c r="V18" i="60"/>
  <c r="S18" i="60"/>
  <c r="Y18" i="60" s="1"/>
  <c r="K18" i="60"/>
  <c r="I18" i="60"/>
  <c r="V17" i="60"/>
  <c r="S17" i="60"/>
  <c r="Y17" i="60" s="1"/>
  <c r="K17" i="60"/>
  <c r="I17" i="60"/>
  <c r="V16" i="60"/>
  <c r="S16" i="60"/>
  <c r="Y16" i="60" s="1"/>
  <c r="K16" i="60"/>
  <c r="I16" i="60"/>
  <c r="V15" i="60"/>
  <c r="S15" i="60"/>
  <c r="Y15" i="60" s="1"/>
  <c r="K15" i="60"/>
  <c r="I15" i="60"/>
  <c r="P12" i="60"/>
  <c r="AI33" i="61" l="1"/>
  <c r="AB19" i="61"/>
  <c r="AA19" i="61" s="1"/>
  <c r="AB18" i="61"/>
  <c r="AA18" i="61" s="1"/>
  <c r="S35" i="61" s="1"/>
  <c r="S36" i="60" s="1"/>
  <c r="AB16" i="61"/>
  <c r="AA16" i="61" s="1"/>
  <c r="N15" i="61"/>
  <c r="AB15" i="61"/>
  <c r="AA15" i="61" s="1"/>
  <c r="P18" i="61"/>
  <c r="P15" i="61"/>
  <c r="AB17" i="61"/>
  <c r="AA17" i="61" s="1"/>
  <c r="Y35" i="61" s="1"/>
  <c r="N18" i="61"/>
  <c r="N17" i="61"/>
  <c r="P19" i="61"/>
  <c r="P16" i="61"/>
  <c r="N19" i="61"/>
  <c r="AA35" i="61"/>
  <c r="N16" i="61"/>
  <c r="P19" i="60"/>
  <c r="AB17" i="60"/>
  <c r="AA17" i="60" s="1"/>
  <c r="AB15" i="60"/>
  <c r="AA15" i="60" s="1"/>
  <c r="AB18" i="60"/>
  <c r="AA18" i="60" s="1"/>
  <c r="AB19" i="60"/>
  <c r="AA19" i="60" s="1"/>
  <c r="P16" i="60"/>
  <c r="N19" i="60"/>
  <c r="P17" i="60"/>
  <c r="P15" i="60"/>
  <c r="P18" i="60"/>
  <c r="AB16" i="60"/>
  <c r="AA16" i="60" s="1"/>
  <c r="N17" i="60"/>
  <c r="N15" i="60"/>
  <c r="N16" i="60"/>
  <c r="N18" i="60"/>
  <c r="Y36" i="60" l="1"/>
  <c r="AB35" i="61"/>
  <c r="AA36" i="60"/>
  <c r="AD35" i="61" l="1"/>
  <c r="AD36" i="60" s="1"/>
  <c r="AB36" i="60"/>
  <c r="AC35" i="61"/>
  <c r="AC36" i="60" s="1"/>
  <c r="AF35" i="61"/>
  <c r="AF36" i="60" s="1"/>
  <c r="AG35" i="61"/>
  <c r="AG36" i="60" s="1"/>
  <c r="AE35" i="61" l="1"/>
  <c r="AH35" i="61" s="1"/>
  <c r="AH36" i="60" l="1"/>
  <c r="AJ35" i="61"/>
  <c r="AI35" i="61"/>
  <c r="AE36" i="60"/>
</calcChain>
</file>

<file path=xl/sharedStrings.xml><?xml version="1.0" encoding="utf-8"?>
<sst xmlns="http://schemas.openxmlformats.org/spreadsheetml/2006/main" count="172" uniqueCount="91">
  <si>
    <t>AVONMOUTH REBAR FACILITY</t>
  </si>
  <si>
    <t>Sheet No.</t>
  </si>
  <si>
    <t>A4100/ 078 /04</t>
  </si>
  <si>
    <t>Rev No.</t>
  </si>
  <si>
    <t>00</t>
  </si>
  <si>
    <t>Laing O'Rourke, Bridge Place</t>
  </si>
  <si>
    <t>A4100</t>
  </si>
  <si>
    <t>Design by</t>
  </si>
  <si>
    <t>EM</t>
  </si>
  <si>
    <t>Anchor Boulevard, Admirals Park</t>
  </si>
  <si>
    <t>Date</t>
  </si>
  <si>
    <t>Crossways, Dartford, Kent DA2 6SN</t>
  </si>
  <si>
    <t>EDB 078</t>
  </si>
  <si>
    <t>Checked by</t>
  </si>
  <si>
    <t>RH</t>
  </si>
  <si>
    <t>Tel: 01322 296 200  Fax: 01322 296 262</t>
  </si>
  <si>
    <t>Checker's
comments</t>
  </si>
  <si>
    <t>TITLE</t>
  </si>
  <si>
    <t>LIFTING AND HANDLING OF HPX ROOF CAGES</t>
  </si>
  <si>
    <t xml:space="preserve">fy= </t>
  </si>
  <si>
    <t>(MPa)</t>
  </si>
  <si>
    <t>E=</t>
  </si>
  <si>
    <r>
      <t>(kNmm</t>
    </r>
    <r>
      <rPr>
        <b/>
        <vertAlign val="superscript"/>
        <sz val="11"/>
        <color theme="1"/>
        <rFont val="Arial"/>
        <family val="2"/>
      </rPr>
      <t>2</t>
    </r>
    <r>
      <rPr>
        <b/>
        <sz val="11"/>
        <color theme="1"/>
        <rFont val="Arial"/>
        <family val="2"/>
      </rPr>
      <t>).</t>
    </r>
  </si>
  <si>
    <t xml:space="preserve">Dia </t>
  </si>
  <si>
    <t>Area</t>
  </si>
  <si>
    <t xml:space="preserve">I </t>
  </si>
  <si>
    <t>EI</t>
  </si>
  <si>
    <r>
      <t>ry=</t>
    </r>
    <r>
      <rPr>
        <b/>
        <sz val="10"/>
        <rFont val="Calibri"/>
        <family val="2"/>
      </rPr>
      <t>√ {I/A}</t>
    </r>
  </si>
  <si>
    <t>Wel</t>
  </si>
  <si>
    <t>Wpl</t>
  </si>
  <si>
    <t>fy Wel</t>
  </si>
  <si>
    <t>plastic/1.5</t>
  </si>
  <si>
    <t>fy Wpl</t>
  </si>
  <si>
    <t xml:space="preserve">bar size </t>
  </si>
  <si>
    <t>(kg/m)</t>
  </si>
  <si>
    <t>SW UDL</t>
  </si>
  <si>
    <t>(mm)</t>
  </si>
  <si>
    <r>
      <t>(mm</t>
    </r>
    <r>
      <rPr>
        <b/>
        <vertAlign val="superscript"/>
        <sz val="9"/>
        <color theme="1"/>
        <rFont val="Arial"/>
        <family val="2"/>
      </rPr>
      <t>2)</t>
    </r>
  </si>
  <si>
    <r>
      <t>(mm</t>
    </r>
    <r>
      <rPr>
        <b/>
        <vertAlign val="superscript"/>
        <sz val="9"/>
        <color theme="1"/>
        <rFont val="Arial"/>
        <family val="2"/>
      </rPr>
      <t>4)</t>
    </r>
  </si>
  <si>
    <r>
      <t>(kNm</t>
    </r>
    <r>
      <rPr>
        <b/>
        <vertAlign val="superscript"/>
        <sz val="9"/>
        <color theme="1"/>
        <rFont val="Arial"/>
        <family val="2"/>
      </rPr>
      <t>2)</t>
    </r>
  </si>
  <si>
    <r>
      <t>(mm</t>
    </r>
    <r>
      <rPr>
        <b/>
        <vertAlign val="superscript"/>
        <sz val="10"/>
        <rFont val="Arial"/>
        <family val="2"/>
      </rPr>
      <t>3)</t>
    </r>
  </si>
  <si>
    <r>
      <t>(mm</t>
    </r>
    <r>
      <rPr>
        <b/>
        <vertAlign val="superscript"/>
        <sz val="9"/>
        <color theme="1"/>
        <rFont val="Arial"/>
        <family val="2"/>
      </rPr>
      <t>3</t>
    </r>
    <r>
      <rPr>
        <b/>
        <sz val="9"/>
        <color theme="1"/>
        <rFont val="Arial"/>
        <family val="2"/>
      </rPr>
      <t>)</t>
    </r>
  </si>
  <si>
    <t>(kNm)</t>
  </si>
  <si>
    <t>THESE SPACINGS ARE THE TYPICAL AVERAGE T1 ,T2, B1 &amp; B2</t>
  </si>
  <si>
    <t>THIS IS CALCULATED MAX SPAN</t>
  </si>
  <si>
    <t>THESE ARE DOMINANT BAR SIZES  T1 ,T2, B1 &amp; B2</t>
  </si>
  <si>
    <t>THIS IS SPECIFIED SPAN ROUNDED DOWN TO NEAREST 0.1m.</t>
  </si>
  <si>
    <t>TYPICAL 6 STRUTS IN HEIGHT AT 1/5 TH POINTS</t>
  </si>
  <si>
    <t>NUMBER OF T2 LACERS</t>
  </si>
  <si>
    <t>NUMBER OF B2 LACERS</t>
  </si>
  <si>
    <t>TOTAL WT = CAGE WT + EMBED PLATES</t>
  </si>
  <si>
    <t>CHECK SPANS FOR ALL THE CAGES.</t>
  </si>
  <si>
    <t>CAGE NO</t>
  </si>
  <si>
    <t>LENGTH (m)</t>
  </si>
  <si>
    <t>HEIGHT H (m)</t>
  </si>
  <si>
    <t>CAGE WT (T)</t>
  </si>
  <si>
    <t>EMBED WT (T)</t>
  </si>
  <si>
    <t>TOTAL WT (T)</t>
  </si>
  <si>
    <t>LACER SPAN =H/5  (m)</t>
  </si>
  <si>
    <t>T1 BAR SIZE (mm)</t>
  </si>
  <si>
    <t>T1 SPACING (mm)</t>
  </si>
  <si>
    <t>T2 BAR SIZE (mm)</t>
  </si>
  <si>
    <t>T2 SPACING (mm)</t>
  </si>
  <si>
    <t>NO OF T2 LACERS</t>
  </si>
  <si>
    <t>T1 CAGE MAX SPACING</t>
  </si>
  <si>
    <t>B1 BAR SIZE (mm)</t>
  </si>
  <si>
    <t>B1 SPACING (mm)</t>
  </si>
  <si>
    <t>B2 BAR SIZE (mm)</t>
  </si>
  <si>
    <t>B2 SPACING (mm)</t>
  </si>
  <si>
    <t>NO OF B2 LACERS</t>
  </si>
  <si>
    <t>B1 MAX MESH SPACING</t>
  </si>
  <si>
    <t>AVON MESH WT (T)</t>
  </si>
  <si>
    <t>AVON NON MESH WT (T)</t>
  </si>
  <si>
    <t>UDL FACTOR</t>
  </si>
  <si>
    <t>T2 LACER UDL W INCL UDL F (kN/m/m)</t>
  </si>
  <si>
    <t>T1 TIP POINT LOAD P (kN/m)</t>
  </si>
  <si>
    <t>T1 CAGE MAX SPAN S (m)</t>
  </si>
  <si>
    <t>B2 LIFT LACER UDL W (kN/m/m)</t>
  </si>
  <si>
    <t>B1 TIP POINT LOAD P (kN/m)</t>
  </si>
  <si>
    <t>SPEC MAX CAGE SPAN S (m)</t>
  </si>
  <si>
    <t>INPUT ALL GREEN CELLS</t>
  </si>
  <si>
    <t>2ND SHEET CALCULATIONS</t>
  </si>
  <si>
    <t>C32 LIFTING BAR REQUIRED TO LIFT B1/B2 MESH TO TURNING TABLE, AS B1 MAX MESH SPACING IS &lt; SPECIFIED MAX SPAN S</t>
  </si>
  <si>
    <t>OUTPUT</t>
  </si>
  <si>
    <t>FACTORY 1.2DYN UDL</t>
  </si>
  <si>
    <t>T1 MESH SPACING</t>
  </si>
  <si>
    <t>B1 MESH SPACING</t>
  </si>
  <si>
    <t>T1 MAX SPAN S (m)</t>
  </si>
  <si>
    <t>SPEC MAX SPAN S (m)</t>
  </si>
  <si>
    <t>MAX STRUT LOAD (kN)</t>
  </si>
  <si>
    <t>MAX DESIGN LIFT LOAD (Kn)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</si>
</sst>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6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b/>
      <sz val="12"/>
      <name val="CityBlueprint"/>
      <charset val="2"/>
    </font>
    <font>
      <b/>
      <sz val="10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vertAlign val="superscript"/>
      <sz val="11"/>
      <color theme="1"/>
      <name val="Arial"/>
      <family val="2"/>
    </font>
    <font>
      <b/>
      <sz val="10"/>
      <name val="Calibri"/>
      <family val="2"/>
    </font>
    <font>
      <b/>
      <vertAlign val="superscript"/>
      <sz val="9"/>
      <color theme="1"/>
      <name val="Arial"/>
      <family val="2"/>
    </font>
    <font>
      <b/>
      <vertAlign val="superscript"/>
      <sz val="10"/>
      <name val="Arial"/>
      <family val="2"/>
    </font>
    <font>
      <sz val="11"/>
      <color indexed="8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</fills>
  <borders count="27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thick">
        <color indexed="64"/>
      </right>
      <top style="thick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ck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3" fillId="0" borderId="0"/>
  </cellStyleXfs>
  <cellXfs count="127">
    <xf numFmtId="0" fontId="0" fillId="0" borderId="0" xfId="0"/>
    <xf numFmtId="0" fontId="1" fillId="0" borderId="0" xfId="0" applyFont="1"/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4" xfId="0" applyFont="1" applyBorder="1"/>
    <xf numFmtId="0" fontId="1" fillId="0" borderId="8" xfId="0" applyFont="1" applyBorder="1"/>
    <xf numFmtId="0" fontId="2" fillId="0" borderId="8" xfId="0" applyFont="1" applyBorder="1"/>
    <xf numFmtId="0" fontId="2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3" fillId="0" borderId="6" xfId="0" applyFont="1" applyBorder="1" applyAlignment="1">
      <alignment horizontal="left"/>
    </xf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3" fillId="0" borderId="0" xfId="0" applyFont="1"/>
    <xf numFmtId="0" fontId="3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0" fontId="6" fillId="0" borderId="0" xfId="0" applyFont="1"/>
    <xf numFmtId="0" fontId="7" fillId="0" borderId="0" xfId="0" applyFont="1"/>
    <xf numFmtId="0" fontId="7" fillId="0" borderId="1" xfId="0" applyFont="1" applyBorder="1"/>
    <xf numFmtId="0" fontId="5" fillId="0" borderId="0" xfId="0" applyFont="1"/>
    <xf numFmtId="0" fontId="6" fillId="0" borderId="0" xfId="0" applyFont="1" applyAlignment="1">
      <alignment vertical="center" wrapText="1"/>
    </xf>
    <xf numFmtId="0" fontId="3" fillId="0" borderId="2" xfId="0" applyFont="1" applyBorder="1"/>
    <xf numFmtId="0" fontId="7" fillId="0" borderId="2" xfId="0" applyFont="1" applyBorder="1"/>
    <xf numFmtId="0" fontId="7" fillId="0" borderId="3" xfId="0" applyFont="1" applyBorder="1"/>
    <xf numFmtId="0" fontId="6" fillId="0" borderId="4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4" xfId="0" applyFont="1" applyBorder="1" applyAlignment="1">
      <alignment horizontal="center"/>
    </xf>
    <xf numFmtId="0" fontId="6" fillId="0" borderId="1" xfId="0" applyFont="1" applyBorder="1" applyAlignment="1">
      <alignment vertical="center"/>
    </xf>
    <xf numFmtId="0" fontId="6" fillId="0" borderId="2" xfId="0" applyFont="1" applyBorder="1"/>
    <xf numFmtId="0" fontId="8" fillId="0" borderId="0" xfId="0" applyFont="1" applyAlignment="1">
      <alignment horizontal="left"/>
    </xf>
    <xf numFmtId="0" fontId="3" fillId="2" borderId="0" xfId="0" applyFont="1" applyFill="1"/>
    <xf numFmtId="0" fontId="3" fillId="0" borderId="15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6" fillId="0" borderId="15" xfId="0" applyFont="1" applyBorder="1" applyAlignment="1">
      <alignment vertical="center"/>
    </xf>
    <xf numFmtId="165" fontId="6" fillId="0" borderId="15" xfId="0" applyNumberFormat="1" applyFont="1" applyBorder="1" applyAlignmen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1" fillId="0" borderId="1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3" fillId="0" borderId="15" xfId="0" applyNumberFormat="1" applyFont="1" applyBorder="1" applyAlignment="1">
      <alignment horizontal="center" vertical="center"/>
    </xf>
    <xf numFmtId="164" fontId="3" fillId="2" borderId="15" xfId="0" applyNumberFormat="1" applyFont="1" applyFill="1" applyBorder="1"/>
    <xf numFmtId="0" fontId="3" fillId="0" borderId="0" xfId="0" applyFont="1" applyAlignment="1">
      <alignment vertical="center"/>
    </xf>
    <xf numFmtId="0" fontId="1" fillId="0" borderId="15" xfId="0" applyFont="1" applyBorder="1"/>
    <xf numFmtId="0" fontId="6" fillId="0" borderId="15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0" xfId="0" applyFont="1" applyAlignment="1">
      <alignment horizontal="center" wrapText="1"/>
    </xf>
    <xf numFmtId="0" fontId="1" fillId="0" borderId="24" xfId="0" applyFont="1" applyBorder="1"/>
    <xf numFmtId="0" fontId="1" fillId="0" borderId="25" xfId="0" applyFont="1" applyBorder="1"/>
    <xf numFmtId="0" fontId="1" fillId="0" borderId="7" xfId="0" applyFont="1" applyBorder="1"/>
    <xf numFmtId="0" fontId="3" fillId="0" borderId="15" xfId="0" applyFont="1" applyBorder="1"/>
    <xf numFmtId="0" fontId="3" fillId="0" borderId="20" xfId="0" applyFont="1" applyBorder="1" applyAlignment="1">
      <alignment horizontal="center" vertical="center"/>
    </xf>
    <xf numFmtId="165" fontId="1" fillId="3" borderId="15" xfId="0" applyNumberFormat="1" applyFont="1" applyFill="1" applyBorder="1"/>
    <xf numFmtId="0" fontId="3" fillId="0" borderId="26" xfId="0" applyFont="1" applyBorder="1" applyAlignment="1">
      <alignment horizontal="left"/>
    </xf>
    <xf numFmtId="0" fontId="3" fillId="0" borderId="0" xfId="0" applyFont="1" applyAlignment="1">
      <alignment horizontal="center" vertical="center" wrapText="1"/>
    </xf>
    <xf numFmtId="0" fontId="1" fillId="0" borderId="20" xfId="0" applyFont="1" applyBorder="1"/>
    <xf numFmtId="2" fontId="3" fillId="2" borderId="15" xfId="0" applyNumberFormat="1" applyFont="1" applyFill="1" applyBorder="1" applyAlignment="1">
      <alignment horizontal="center" vertical="center"/>
    </xf>
    <xf numFmtId="165" fontId="3" fillId="2" borderId="15" xfId="0" applyNumberFormat="1" applyFont="1" applyFill="1" applyBorder="1" applyAlignment="1">
      <alignment horizontal="center" vertical="center"/>
    </xf>
    <xf numFmtId="165" fontId="3" fillId="0" borderId="15" xfId="0" applyNumberFormat="1" applyFont="1" applyBorder="1"/>
    <xf numFmtId="0" fontId="2" fillId="0" borderId="7" xfId="0" applyFont="1" applyBorder="1"/>
    <xf numFmtId="165" fontId="3" fillId="0" borderId="15" xfId="0" quotePrefix="1" applyNumberFormat="1" applyFont="1" applyBorder="1" applyAlignment="1">
      <alignment horizontal="center" vertical="center"/>
    </xf>
    <xf numFmtId="165" fontId="3" fillId="0" borderId="15" xfId="0" applyNumberFormat="1" applyFont="1" applyBorder="1" applyAlignment="1">
      <alignment horizontal="center" vertical="center"/>
    </xf>
    <xf numFmtId="164" fontId="3" fillId="0" borderId="15" xfId="0" applyNumberFormat="1" applyFont="1" applyBorder="1"/>
    <xf numFmtId="0" fontId="1" fillId="3" borderId="15" xfId="0" applyFont="1" applyFill="1" applyBorder="1" applyAlignment="1">
      <alignment horizontal="center" vertical="center"/>
    </xf>
    <xf numFmtId="165" fontId="3" fillId="2" borderId="15" xfId="0" quotePrefix="1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165" fontId="1" fillId="2" borderId="15" xfId="0" applyNumberFormat="1" applyFont="1" applyFill="1" applyBorder="1"/>
    <xf numFmtId="165" fontId="3" fillId="4" borderId="15" xfId="0" applyNumberFormat="1" applyFont="1" applyFill="1" applyBorder="1" applyAlignment="1">
      <alignment horizontal="center" vertical="center"/>
    </xf>
    <xf numFmtId="2" fontId="3" fillId="4" borderId="15" xfId="0" applyNumberFormat="1" applyFont="1" applyFill="1" applyBorder="1" applyAlignment="1">
      <alignment horizontal="center" vertical="center"/>
    </xf>
    <xf numFmtId="0" fontId="3" fillId="3" borderId="0" xfId="0" applyFont="1" applyFill="1"/>
    <xf numFmtId="0" fontId="3" fillId="3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/>
    </xf>
    <xf numFmtId="0" fontId="3" fillId="4" borderId="0" xfId="0" applyFont="1" applyFill="1"/>
    <xf numFmtId="0" fontId="14" fillId="5" borderId="18" xfId="0" applyFont="1" applyFill="1" applyBorder="1" applyAlignment="1">
      <alignment horizontal="center" vertical="center" wrapText="1"/>
    </xf>
    <xf numFmtId="0" fontId="3" fillId="5" borderId="15" xfId="0" applyFont="1" applyFill="1" applyBorder="1" applyAlignment="1">
      <alignment horizontal="center" vertical="center" wrapText="1"/>
    </xf>
    <xf numFmtId="0" fontId="3" fillId="5" borderId="15" xfId="0" applyFont="1" applyFill="1" applyBorder="1" applyAlignment="1">
      <alignment vertical="center" wrapText="1"/>
    </xf>
    <xf numFmtId="0" fontId="3" fillId="5" borderId="15" xfId="0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wrapText="1"/>
    </xf>
    <xf numFmtId="0" fontId="14" fillId="5" borderId="19" xfId="0" applyFont="1" applyFill="1" applyBorder="1" applyAlignment="1">
      <alignment horizontal="center" vertical="center" wrapText="1"/>
    </xf>
    <xf numFmtId="0" fontId="14" fillId="5" borderId="22" xfId="0" applyFont="1" applyFill="1" applyBorder="1" applyAlignment="1">
      <alignment horizontal="center" vertical="center" wrapText="1"/>
    </xf>
    <xf numFmtId="0" fontId="14" fillId="5" borderId="21" xfId="0" applyFont="1" applyFill="1" applyBorder="1" applyAlignment="1">
      <alignment horizontal="center" vertical="center" wrapText="1"/>
    </xf>
    <xf numFmtId="0" fontId="3" fillId="5" borderId="15" xfId="0" applyFont="1" applyFill="1" applyBorder="1" applyAlignment="1">
      <alignment horizontal="center" wrapText="1"/>
    </xf>
    <xf numFmtId="0" fontId="3" fillId="3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65" fontId="3" fillId="0" borderId="15" xfId="0" applyNumberFormat="1" applyFont="1" applyBorder="1" applyAlignment="1">
      <alignment horizontal="center" wrapText="1"/>
    </xf>
    <xf numFmtId="166" fontId="3" fillId="0" borderId="15" xfId="0" applyNumberFormat="1" applyFont="1" applyBorder="1" applyAlignment="1">
      <alignment horizontal="center" wrapText="1"/>
    </xf>
    <xf numFmtId="164" fontId="3" fillId="0" borderId="15" xfId="0" applyNumberFormat="1" applyFont="1" applyBorder="1" applyAlignment="1">
      <alignment horizontal="center"/>
    </xf>
    <xf numFmtId="165" fontId="6" fillId="0" borderId="16" xfId="0" applyNumberFormat="1" applyFont="1" applyBorder="1" applyAlignment="1">
      <alignment horizontal="center" vertical="center" wrapText="1"/>
    </xf>
    <xf numFmtId="165" fontId="6" fillId="0" borderId="17" xfId="0" applyNumberFormat="1" applyFont="1" applyBorder="1" applyAlignment="1">
      <alignment horizontal="center" vertical="center" wrapText="1"/>
    </xf>
    <xf numFmtId="165" fontId="7" fillId="0" borderId="15" xfId="0" applyNumberFormat="1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5" xfId="0" applyFont="1" applyBorder="1" applyAlignment="1">
      <alignment horizontal="center" wrapText="1"/>
    </xf>
    <xf numFmtId="0" fontId="3" fillId="0" borderId="16" xfId="0" applyFont="1" applyBorder="1" applyAlignment="1">
      <alignment horizontal="center" wrapText="1"/>
    </xf>
    <xf numFmtId="2" fontId="3" fillId="0" borderId="16" xfId="0" applyNumberFormat="1" applyFont="1" applyBorder="1" applyAlignment="1">
      <alignment horizontal="center"/>
    </xf>
    <xf numFmtId="2" fontId="3" fillId="0" borderId="17" xfId="0" applyNumberFormat="1" applyFont="1" applyBorder="1" applyAlignment="1">
      <alignment horizontal="center"/>
    </xf>
    <xf numFmtId="0" fontId="6" fillId="0" borderId="15" xfId="0" applyFont="1" applyBorder="1" applyAlignment="1">
      <alignment horizontal="center" vertical="center" wrapText="1"/>
    </xf>
    <xf numFmtId="164" fontId="6" fillId="0" borderId="15" xfId="0" applyNumberFormat="1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7" fillId="0" borderId="0" xfId="0" applyFont="1" applyAlignment="1">
      <alignment horizontal="center"/>
    </xf>
    <xf numFmtId="14" fontId="7" fillId="0" borderId="0" xfId="0" applyNumberFormat="1" applyFont="1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49" fontId="4" fillId="0" borderId="0" xfId="0" applyNumberFormat="1" applyFont="1" applyAlignment="1" applyProtection="1">
      <alignment horizontal="center"/>
      <protection locked="0"/>
    </xf>
  </cellXfs>
  <cellStyles count="2">
    <cellStyle name="Normal" xfId="0" builtinId="0"/>
    <cellStyle name="Normal 2" xfId="1" xr:uid="{ABC8B954-533A-4CAE-A64E-A77B9C5B6D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440000" cy="493614"/>
    <xdr:pic>
      <xdr:nvPicPr>
        <xdr:cNvPr id="2" name="Picture 1" descr="New LOR master - medium.jpg">
          <a:extLst>
            <a:ext uri="{FF2B5EF4-FFF2-40B4-BE49-F238E27FC236}">
              <a16:creationId xmlns:a16="http://schemas.microsoft.com/office/drawing/2014/main" id="{80A1A55F-9450-4E57-9343-4BAEE51B9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9781" y="0"/>
          <a:ext cx="1440000" cy="493614"/>
        </a:xfrm>
        <a:prstGeom prst="rect">
          <a:avLst/>
        </a:prstGeom>
      </xdr:spPr>
    </xdr:pic>
    <xdr:clientData/>
  </xdr:oneCellAnchor>
  <xdr:twoCellAnchor>
    <xdr:from>
      <xdr:col>20</xdr:col>
      <xdr:colOff>105432</xdr:colOff>
      <xdr:row>22</xdr:row>
      <xdr:rowOff>1</xdr:rowOff>
    </xdr:from>
    <xdr:to>
      <xdr:col>22</xdr:col>
      <xdr:colOff>284672</xdr:colOff>
      <xdr:row>30</xdr:row>
      <xdr:rowOff>112143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58729A5-B795-8A16-676F-219F6DB69F0B}"/>
            </a:ext>
          </a:extLst>
        </xdr:cNvPr>
        <xdr:cNvCxnSpPr/>
      </xdr:nvCxnSpPr>
      <xdr:spPr>
        <a:xfrm>
          <a:off x="11595817" y="3804250"/>
          <a:ext cx="1292047" cy="156138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335471</xdr:colOff>
      <xdr:row>22</xdr:row>
      <xdr:rowOff>9585</xdr:rowOff>
    </xdr:from>
    <xdr:to>
      <xdr:col>20</xdr:col>
      <xdr:colOff>181155</xdr:colOff>
      <xdr:row>31</xdr:row>
      <xdr:rowOff>8626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B96ADF1-1213-42EC-A262-806C2ABEF898}"/>
            </a:ext>
          </a:extLst>
        </xdr:cNvPr>
        <xdr:cNvCxnSpPr/>
      </xdr:nvCxnSpPr>
      <xdr:spPr>
        <a:xfrm>
          <a:off x="11325524" y="3813834"/>
          <a:ext cx="346016" cy="1629434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488829</xdr:colOff>
      <xdr:row>22</xdr:row>
      <xdr:rowOff>1</xdr:rowOff>
    </xdr:from>
    <xdr:to>
      <xdr:col>19</xdr:col>
      <xdr:colOff>124603</xdr:colOff>
      <xdr:row>30</xdr:row>
      <xdr:rowOff>172529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D48D6054-DD10-458C-A764-99D027987B59}"/>
            </a:ext>
          </a:extLst>
        </xdr:cNvPr>
        <xdr:cNvCxnSpPr/>
      </xdr:nvCxnSpPr>
      <xdr:spPr>
        <a:xfrm flipH="1">
          <a:off x="9508226" y="5827623"/>
          <a:ext cx="1629434" cy="1629434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431320</xdr:colOff>
      <xdr:row>21</xdr:row>
      <xdr:rowOff>153359</xdr:rowOff>
    </xdr:from>
    <xdr:to>
      <xdr:col>18</xdr:col>
      <xdr:colOff>460075</xdr:colOff>
      <xdr:row>30</xdr:row>
      <xdr:rowOff>153359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B834BA1C-9FAE-4A7F-B761-1E4DDD308CFC}"/>
            </a:ext>
          </a:extLst>
        </xdr:cNvPr>
        <xdr:cNvCxnSpPr/>
      </xdr:nvCxnSpPr>
      <xdr:spPr>
        <a:xfrm flipH="1">
          <a:off x="8022566" y="5798868"/>
          <a:ext cx="2885056" cy="1639019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373812</xdr:colOff>
      <xdr:row>23</xdr:row>
      <xdr:rowOff>153358</xdr:rowOff>
    </xdr:from>
    <xdr:to>
      <xdr:col>14</xdr:col>
      <xdr:colOff>364225</xdr:colOff>
      <xdr:row>30</xdr:row>
      <xdr:rowOff>95849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F2B9D6FA-F7BE-4DB8-B13E-FD190F086CDD}"/>
            </a:ext>
          </a:extLst>
        </xdr:cNvPr>
        <xdr:cNvCxnSpPr/>
      </xdr:nvCxnSpPr>
      <xdr:spPr>
        <a:xfrm flipH="1">
          <a:off x="7159925" y="6163094"/>
          <a:ext cx="795546" cy="1217283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565508</xdr:colOff>
      <xdr:row>24</xdr:row>
      <xdr:rowOff>28755</xdr:rowOff>
    </xdr:from>
    <xdr:to>
      <xdr:col>15</xdr:col>
      <xdr:colOff>316303</xdr:colOff>
      <xdr:row>30</xdr:row>
      <xdr:rowOff>105434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E24D00F6-6FF7-471D-BEC3-D7A3C8360D35}"/>
            </a:ext>
          </a:extLst>
        </xdr:cNvPr>
        <xdr:cNvCxnSpPr/>
      </xdr:nvCxnSpPr>
      <xdr:spPr>
        <a:xfrm>
          <a:off x="8156754" y="6220604"/>
          <a:ext cx="527171" cy="1169358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38341</xdr:colOff>
      <xdr:row>24</xdr:row>
      <xdr:rowOff>9585</xdr:rowOff>
    </xdr:from>
    <xdr:to>
      <xdr:col>19</xdr:col>
      <xdr:colOff>86264</xdr:colOff>
      <xdr:row>30</xdr:row>
      <xdr:rowOff>138022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65D83C8B-2FC3-418A-983D-37E789759B52}"/>
            </a:ext>
          </a:extLst>
        </xdr:cNvPr>
        <xdr:cNvCxnSpPr/>
      </xdr:nvCxnSpPr>
      <xdr:spPr>
        <a:xfrm>
          <a:off x="8388711" y="4176143"/>
          <a:ext cx="2687606" cy="1215366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325888</xdr:colOff>
      <xdr:row>23</xdr:row>
      <xdr:rowOff>153358</xdr:rowOff>
    </xdr:from>
    <xdr:to>
      <xdr:col>21</xdr:col>
      <xdr:colOff>258793</xdr:colOff>
      <xdr:row>30</xdr:row>
      <xdr:rowOff>86264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47EE5A7D-2D98-4644-B52D-0CF31032CACC}"/>
            </a:ext>
          </a:extLst>
        </xdr:cNvPr>
        <xdr:cNvCxnSpPr/>
      </xdr:nvCxnSpPr>
      <xdr:spPr>
        <a:xfrm>
          <a:off x="8676258" y="4138762"/>
          <a:ext cx="3642263" cy="1200989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543464</xdr:colOff>
      <xdr:row>23</xdr:row>
      <xdr:rowOff>34505</xdr:rowOff>
    </xdr:from>
    <xdr:to>
      <xdr:col>30</xdr:col>
      <xdr:colOff>267419</xdr:colOff>
      <xdr:row>31</xdr:row>
      <xdr:rowOff>750498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66BCBE1C-7BCB-419C-B33D-342C644AB9A1}"/>
            </a:ext>
          </a:extLst>
        </xdr:cNvPr>
        <xdr:cNvCxnSpPr/>
      </xdr:nvCxnSpPr>
      <xdr:spPr>
        <a:xfrm>
          <a:off x="17287336" y="4019909"/>
          <a:ext cx="1095555" cy="2165231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276044</xdr:colOff>
      <xdr:row>24</xdr:row>
      <xdr:rowOff>8627</xdr:rowOff>
    </xdr:from>
    <xdr:to>
      <xdr:col>33</xdr:col>
      <xdr:colOff>491704</xdr:colOff>
      <xdr:row>31</xdr:row>
      <xdr:rowOff>707365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9797E75B-BFA9-411D-B28D-A38B07504C2E}"/>
            </a:ext>
          </a:extLst>
        </xdr:cNvPr>
        <xdr:cNvCxnSpPr/>
      </xdr:nvCxnSpPr>
      <xdr:spPr>
        <a:xfrm flipH="1">
          <a:off x="20030535" y="4175185"/>
          <a:ext cx="215660" cy="1966822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431320</xdr:colOff>
      <xdr:row>27</xdr:row>
      <xdr:rowOff>162943</xdr:rowOff>
    </xdr:from>
    <xdr:to>
      <xdr:col>11</xdr:col>
      <xdr:colOff>555925</xdr:colOff>
      <xdr:row>31</xdr:row>
      <xdr:rowOff>153359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85A7404E-F54C-48E3-9FC7-62370875B5A9}"/>
            </a:ext>
          </a:extLst>
        </xdr:cNvPr>
        <xdr:cNvCxnSpPr/>
      </xdr:nvCxnSpPr>
      <xdr:spPr>
        <a:xfrm>
          <a:off x="3824377" y="6901132"/>
          <a:ext cx="1696529" cy="718868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383396</xdr:colOff>
      <xdr:row>28</xdr:row>
      <xdr:rowOff>38341</xdr:rowOff>
    </xdr:from>
    <xdr:to>
      <xdr:col>10</xdr:col>
      <xdr:colOff>805132</xdr:colOff>
      <xdr:row>31</xdr:row>
      <xdr:rowOff>143774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755157D5-368D-4A83-BEC6-1F6C0D03E5F8}"/>
            </a:ext>
          </a:extLst>
        </xdr:cNvPr>
        <xdr:cNvCxnSpPr/>
      </xdr:nvCxnSpPr>
      <xdr:spPr>
        <a:xfrm flipH="1">
          <a:off x="4428226" y="6958643"/>
          <a:ext cx="421736" cy="651772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345057</xdr:colOff>
      <xdr:row>28</xdr:row>
      <xdr:rowOff>19171</xdr:rowOff>
    </xdr:from>
    <xdr:to>
      <xdr:col>10</xdr:col>
      <xdr:colOff>115020</xdr:colOff>
      <xdr:row>31</xdr:row>
      <xdr:rowOff>124604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F3631F73-9DE5-4CB1-AB26-2C6E966264C8}"/>
            </a:ext>
          </a:extLst>
        </xdr:cNvPr>
        <xdr:cNvCxnSpPr/>
      </xdr:nvCxnSpPr>
      <xdr:spPr>
        <a:xfrm flipH="1">
          <a:off x="3738114" y="6939473"/>
          <a:ext cx="421736" cy="651772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500332</xdr:colOff>
      <xdr:row>26</xdr:row>
      <xdr:rowOff>17253</xdr:rowOff>
    </xdr:from>
    <xdr:to>
      <xdr:col>17</xdr:col>
      <xdr:colOff>439947</xdr:colOff>
      <xdr:row>30</xdr:row>
      <xdr:rowOff>163902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543F17F7-7D7C-421D-9F5A-25569FAF864A}"/>
            </a:ext>
          </a:extLst>
        </xdr:cNvPr>
        <xdr:cNvCxnSpPr/>
      </xdr:nvCxnSpPr>
      <xdr:spPr>
        <a:xfrm>
          <a:off x="8074324" y="4546121"/>
          <a:ext cx="2087593" cy="871268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172528</xdr:colOff>
      <xdr:row>26</xdr:row>
      <xdr:rowOff>51758</xdr:rowOff>
    </xdr:from>
    <xdr:to>
      <xdr:col>23</xdr:col>
      <xdr:colOff>414068</xdr:colOff>
      <xdr:row>30</xdr:row>
      <xdr:rowOff>112143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94735336-AC3E-4EA7-AB11-5DBFDC6C13EF}"/>
            </a:ext>
          </a:extLst>
        </xdr:cNvPr>
        <xdr:cNvCxnSpPr/>
      </xdr:nvCxnSpPr>
      <xdr:spPr>
        <a:xfrm flipH="1">
          <a:off x="13276053" y="4580626"/>
          <a:ext cx="241540" cy="785004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422695</xdr:colOff>
      <xdr:row>36</xdr:row>
      <xdr:rowOff>34505</xdr:rowOff>
    </xdr:from>
    <xdr:to>
      <xdr:col>24</xdr:col>
      <xdr:colOff>483079</xdr:colOff>
      <xdr:row>38</xdr:row>
      <xdr:rowOff>163902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FD1BB12F-1B2E-4906-8D9A-67574AE5D9F7}"/>
            </a:ext>
          </a:extLst>
        </xdr:cNvPr>
        <xdr:cNvCxnSpPr/>
      </xdr:nvCxnSpPr>
      <xdr:spPr>
        <a:xfrm flipH="1" flipV="1">
          <a:off x="14164574" y="6409426"/>
          <a:ext cx="60384" cy="491706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724619</xdr:colOff>
      <xdr:row>36</xdr:row>
      <xdr:rowOff>51758</xdr:rowOff>
    </xdr:from>
    <xdr:to>
      <xdr:col>33</xdr:col>
      <xdr:colOff>155275</xdr:colOff>
      <xdr:row>38</xdr:row>
      <xdr:rowOff>146649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2997C750-8992-4D2C-87EB-C296B89E6109}"/>
            </a:ext>
          </a:extLst>
        </xdr:cNvPr>
        <xdr:cNvCxnSpPr/>
      </xdr:nvCxnSpPr>
      <xdr:spPr>
        <a:xfrm flipV="1">
          <a:off x="14561389" y="6426679"/>
          <a:ext cx="5348377" cy="45720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440000" cy="493614"/>
    <xdr:pic>
      <xdr:nvPicPr>
        <xdr:cNvPr id="2" name="Picture 1" descr="New LOR master - medium.jpg">
          <a:extLst>
            <a:ext uri="{FF2B5EF4-FFF2-40B4-BE49-F238E27FC236}">
              <a16:creationId xmlns:a16="http://schemas.microsoft.com/office/drawing/2014/main" id="{4DDD53A2-34FD-4AC6-9905-3BC847E63D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9781" y="0"/>
          <a:ext cx="1440000" cy="493614"/>
        </a:xfrm>
        <a:prstGeom prst="rect">
          <a:avLst/>
        </a:prstGeom>
      </xdr:spPr>
    </xdr:pic>
    <xdr:clientData/>
  </xdr:oneCellAnchor>
  <xdr:twoCellAnchor>
    <xdr:from>
      <xdr:col>20</xdr:col>
      <xdr:colOff>105432</xdr:colOff>
      <xdr:row>21</xdr:row>
      <xdr:rowOff>1</xdr:rowOff>
    </xdr:from>
    <xdr:to>
      <xdr:col>20</xdr:col>
      <xdr:colOff>268377</xdr:colOff>
      <xdr:row>29</xdr:row>
      <xdr:rowOff>124604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DA0F9C4E-27E8-43E3-99A5-6DE7FE958B29}"/>
            </a:ext>
          </a:extLst>
        </xdr:cNvPr>
        <xdr:cNvCxnSpPr/>
      </xdr:nvCxnSpPr>
      <xdr:spPr>
        <a:xfrm>
          <a:off x="11595817" y="5796952"/>
          <a:ext cx="162945" cy="1573841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316302</xdr:colOff>
      <xdr:row>21</xdr:row>
      <xdr:rowOff>9585</xdr:rowOff>
    </xdr:from>
    <xdr:to>
      <xdr:col>19</xdr:col>
      <xdr:colOff>335471</xdr:colOff>
      <xdr:row>29</xdr:row>
      <xdr:rowOff>86264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245C0360-625A-4B40-AEB9-431CE670EC17}"/>
            </a:ext>
          </a:extLst>
        </xdr:cNvPr>
        <xdr:cNvCxnSpPr/>
      </xdr:nvCxnSpPr>
      <xdr:spPr>
        <a:xfrm flipH="1">
          <a:off x="10737011" y="5806536"/>
          <a:ext cx="588513" cy="1525917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488829</xdr:colOff>
      <xdr:row>21</xdr:row>
      <xdr:rowOff>1</xdr:rowOff>
    </xdr:from>
    <xdr:to>
      <xdr:col>19</xdr:col>
      <xdr:colOff>124603</xdr:colOff>
      <xdr:row>29</xdr:row>
      <xdr:rowOff>172529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5938E188-2A62-45AC-9D00-C98DB5B2D43F}"/>
            </a:ext>
          </a:extLst>
        </xdr:cNvPr>
        <xdr:cNvCxnSpPr/>
      </xdr:nvCxnSpPr>
      <xdr:spPr>
        <a:xfrm flipH="1">
          <a:off x="9486180" y="5796952"/>
          <a:ext cx="1628476" cy="1621766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431320</xdr:colOff>
      <xdr:row>20</xdr:row>
      <xdr:rowOff>153359</xdr:rowOff>
    </xdr:from>
    <xdr:to>
      <xdr:col>18</xdr:col>
      <xdr:colOff>460075</xdr:colOff>
      <xdr:row>29</xdr:row>
      <xdr:rowOff>153359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9AB6313C-94BA-4D5B-AD83-3B6FFB204941}"/>
            </a:ext>
          </a:extLst>
        </xdr:cNvPr>
        <xdr:cNvCxnSpPr/>
      </xdr:nvCxnSpPr>
      <xdr:spPr>
        <a:xfrm flipH="1">
          <a:off x="8005312" y="5769155"/>
          <a:ext cx="2875472" cy="1630393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373812</xdr:colOff>
      <xdr:row>22</xdr:row>
      <xdr:rowOff>153358</xdr:rowOff>
    </xdr:from>
    <xdr:to>
      <xdr:col>14</xdr:col>
      <xdr:colOff>364225</xdr:colOff>
      <xdr:row>29</xdr:row>
      <xdr:rowOff>95849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A4C82788-00EC-433A-8876-0357D2813296}"/>
            </a:ext>
          </a:extLst>
        </xdr:cNvPr>
        <xdr:cNvCxnSpPr/>
      </xdr:nvCxnSpPr>
      <xdr:spPr>
        <a:xfrm flipH="1">
          <a:off x="7145548" y="6131464"/>
          <a:ext cx="792669" cy="1210574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565508</xdr:colOff>
      <xdr:row>23</xdr:row>
      <xdr:rowOff>28755</xdr:rowOff>
    </xdr:from>
    <xdr:to>
      <xdr:col>15</xdr:col>
      <xdr:colOff>316303</xdr:colOff>
      <xdr:row>29</xdr:row>
      <xdr:rowOff>105434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E6320629-1FBB-44A7-B135-B29D0E38F48F}"/>
            </a:ext>
          </a:extLst>
        </xdr:cNvPr>
        <xdr:cNvCxnSpPr/>
      </xdr:nvCxnSpPr>
      <xdr:spPr>
        <a:xfrm>
          <a:off x="8139500" y="6188015"/>
          <a:ext cx="527173" cy="1163608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38341</xdr:colOff>
      <xdr:row>23</xdr:row>
      <xdr:rowOff>9585</xdr:rowOff>
    </xdr:from>
    <xdr:to>
      <xdr:col>19</xdr:col>
      <xdr:colOff>134188</xdr:colOff>
      <xdr:row>29</xdr:row>
      <xdr:rowOff>105433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388F8B9C-05D4-409E-8784-984A831E1B00}"/>
            </a:ext>
          </a:extLst>
        </xdr:cNvPr>
        <xdr:cNvCxnSpPr/>
      </xdr:nvCxnSpPr>
      <xdr:spPr>
        <a:xfrm>
          <a:off x="8405963" y="4361132"/>
          <a:ext cx="2741282" cy="1188528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325888</xdr:colOff>
      <xdr:row>22</xdr:row>
      <xdr:rowOff>153358</xdr:rowOff>
    </xdr:from>
    <xdr:to>
      <xdr:col>21</xdr:col>
      <xdr:colOff>268377</xdr:colOff>
      <xdr:row>29</xdr:row>
      <xdr:rowOff>115018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36A81FD2-C7FA-4F88-8D40-A24D3555215E}"/>
            </a:ext>
          </a:extLst>
        </xdr:cNvPr>
        <xdr:cNvCxnSpPr/>
      </xdr:nvCxnSpPr>
      <xdr:spPr>
        <a:xfrm>
          <a:off x="8693510" y="4322792"/>
          <a:ext cx="3651848" cy="1236453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345056</xdr:colOff>
      <xdr:row>22</xdr:row>
      <xdr:rowOff>19169</xdr:rowOff>
    </xdr:from>
    <xdr:to>
      <xdr:col>26</xdr:col>
      <xdr:colOff>230037</xdr:colOff>
      <xdr:row>30</xdr:row>
      <xdr:rowOff>640820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DE09A1FC-830C-425C-AF56-F28A74D12906}"/>
            </a:ext>
          </a:extLst>
        </xdr:cNvPr>
        <xdr:cNvCxnSpPr/>
      </xdr:nvCxnSpPr>
      <xdr:spPr>
        <a:xfrm flipH="1">
          <a:off x="10758372" y="4246112"/>
          <a:ext cx="4678802" cy="2100465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297132</xdr:colOff>
      <xdr:row>23</xdr:row>
      <xdr:rowOff>28754</xdr:rowOff>
    </xdr:from>
    <xdr:to>
      <xdr:col>30</xdr:col>
      <xdr:colOff>469661</xdr:colOff>
      <xdr:row>30</xdr:row>
      <xdr:rowOff>47925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EAC88D4B-8C19-4CD2-BB69-5631356F7383}"/>
            </a:ext>
          </a:extLst>
        </xdr:cNvPr>
        <xdr:cNvCxnSpPr/>
      </xdr:nvCxnSpPr>
      <xdr:spPr>
        <a:xfrm flipH="1">
          <a:off x="16048966" y="6188014"/>
          <a:ext cx="172529" cy="1287254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431320</xdr:colOff>
      <xdr:row>26</xdr:row>
      <xdr:rowOff>162943</xdr:rowOff>
    </xdr:from>
    <xdr:to>
      <xdr:col>11</xdr:col>
      <xdr:colOff>555925</xdr:colOff>
      <xdr:row>30</xdr:row>
      <xdr:rowOff>153359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BF003F9E-741E-4351-BF81-AD0B77BB7DD0}"/>
            </a:ext>
          </a:extLst>
        </xdr:cNvPr>
        <xdr:cNvCxnSpPr/>
      </xdr:nvCxnSpPr>
      <xdr:spPr>
        <a:xfrm>
          <a:off x="3804248" y="6865668"/>
          <a:ext cx="1703239" cy="715034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383396</xdr:colOff>
      <xdr:row>27</xdr:row>
      <xdr:rowOff>38341</xdr:rowOff>
    </xdr:from>
    <xdr:to>
      <xdr:col>10</xdr:col>
      <xdr:colOff>805132</xdr:colOff>
      <xdr:row>30</xdr:row>
      <xdr:rowOff>143774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770819A1-094F-4B69-859C-12A5BD5D4C50}"/>
            </a:ext>
          </a:extLst>
        </xdr:cNvPr>
        <xdr:cNvCxnSpPr/>
      </xdr:nvCxnSpPr>
      <xdr:spPr>
        <a:xfrm flipH="1">
          <a:off x="4411932" y="6922220"/>
          <a:ext cx="421736" cy="648897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345057</xdr:colOff>
      <xdr:row>27</xdr:row>
      <xdr:rowOff>19171</xdr:rowOff>
    </xdr:from>
    <xdr:to>
      <xdr:col>10</xdr:col>
      <xdr:colOff>115020</xdr:colOff>
      <xdr:row>30</xdr:row>
      <xdr:rowOff>124604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793EF4DE-1D84-4037-AEBF-0873903AE225}"/>
            </a:ext>
          </a:extLst>
        </xdr:cNvPr>
        <xdr:cNvCxnSpPr/>
      </xdr:nvCxnSpPr>
      <xdr:spPr>
        <a:xfrm flipH="1">
          <a:off x="3717985" y="6903050"/>
          <a:ext cx="425571" cy="648897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CEE55-CD5D-4F56-A8EE-F2B3A474939D}">
  <sheetPr>
    <pageSetUpPr fitToPage="1"/>
  </sheetPr>
  <dimension ref="A1:BA53"/>
  <sheetViews>
    <sheetView tabSelected="1" view="pageBreakPreview" topLeftCell="A4" zoomScale="115" zoomScaleNormal="140" zoomScaleSheetLayoutView="115" workbookViewId="0">
      <selection activeCell="K36" sqref="K36"/>
    </sheetView>
  </sheetViews>
  <sheetFormatPr defaultColWidth="2.7109375" defaultRowHeight="14.25" customHeight="1" x14ac:dyDescent="0.2"/>
  <cols>
    <col min="1" max="6" width="2.7109375" style="1"/>
    <col min="7" max="7" width="10.5703125" style="1" customWidth="1"/>
    <col min="8" max="8" width="10.42578125" style="1" customWidth="1"/>
    <col min="9" max="9" width="11.28515625" style="1" customWidth="1"/>
    <col min="10" max="10" width="9.42578125" style="1" customWidth="1"/>
    <col min="11" max="11" width="13.42578125" style="49" customWidth="1"/>
    <col min="12" max="12" width="15" style="49" customWidth="1"/>
    <col min="13" max="13" width="11.42578125" style="1" customWidth="1"/>
    <col min="14" max="14" width="11.5703125" style="1" customWidth="1"/>
    <col min="15" max="15" width="11.28515625" style="1" customWidth="1"/>
    <col min="16" max="16" width="9.42578125" style="1" customWidth="1"/>
    <col min="17" max="17" width="10.42578125" style="1" customWidth="1"/>
    <col min="18" max="18" width="10.140625" style="1" customWidth="1"/>
    <col min="19" max="19" width="9.5703125" style="1" customWidth="1"/>
    <col min="20" max="20" width="7.28515625" style="1" customWidth="1"/>
    <col min="21" max="21" width="8.28515625" style="1" customWidth="1"/>
    <col min="22" max="22" width="7.85546875" style="1" customWidth="1"/>
    <col min="23" max="23" width="7.28515625" style="1" customWidth="1"/>
    <col min="24" max="24" width="9.28515625" style="1" customWidth="1"/>
    <col min="25" max="25" width="11.42578125" style="1" customWidth="1"/>
    <col min="26" max="26" width="9.7109375" style="1" customWidth="1"/>
    <col min="27" max="27" width="10.7109375" style="1" customWidth="1"/>
    <col min="28" max="28" width="10.140625" style="1" customWidth="1"/>
    <col min="29" max="29" width="12.140625" style="1" customWidth="1"/>
    <col min="30" max="30" width="7.7109375" style="1" customWidth="1"/>
    <col min="31" max="31" width="8.42578125" style="1" customWidth="1"/>
    <col min="32" max="32" width="7.42578125" style="1" customWidth="1"/>
    <col min="33" max="33" width="7.7109375" style="1" customWidth="1"/>
    <col min="34" max="34" width="8.28515625" style="1" customWidth="1"/>
    <col min="35" max="35" width="5.85546875" style="1" customWidth="1"/>
    <col min="36" max="36" width="6.5703125" style="1" customWidth="1"/>
    <col min="37" max="37" width="5.85546875" style="1" customWidth="1"/>
    <col min="38" max="38" width="6.42578125" style="1" customWidth="1"/>
    <col min="39" max="16384" width="2.7109375" style="1"/>
  </cols>
  <sheetData>
    <row r="1" spans="1:50" ht="14.25" customHeight="1" x14ac:dyDescent="0.25">
      <c r="A1" s="14"/>
      <c r="B1" s="14"/>
      <c r="C1" s="14"/>
      <c r="D1" s="14"/>
      <c r="E1" s="14"/>
      <c r="F1" s="14"/>
      <c r="G1" s="14"/>
      <c r="H1" s="14"/>
      <c r="I1" s="14"/>
      <c r="J1" s="14"/>
      <c r="K1" s="38"/>
      <c r="L1" s="45"/>
      <c r="M1" s="14"/>
      <c r="N1" s="15"/>
      <c r="O1" s="15"/>
      <c r="P1" s="18"/>
      <c r="Q1" s="18"/>
      <c r="R1" s="18"/>
      <c r="S1" s="18"/>
      <c r="T1" s="18"/>
      <c r="U1" s="18"/>
      <c r="V1" s="18"/>
      <c r="W1" s="18"/>
      <c r="X1" s="18"/>
      <c r="Y1" s="18"/>
      <c r="Z1" s="19"/>
      <c r="AA1" s="18"/>
      <c r="AB1" s="18"/>
      <c r="AC1" s="18"/>
      <c r="AD1" s="18"/>
      <c r="AE1" s="18"/>
      <c r="AF1" s="18"/>
      <c r="AG1" s="18"/>
      <c r="AH1" s="18"/>
      <c r="AI1" s="18"/>
      <c r="AJ1" s="17"/>
      <c r="AK1" s="17"/>
      <c r="AL1" s="14"/>
    </row>
    <row r="2" spans="1:50" ht="14.25" customHeight="1" x14ac:dyDescent="0.2">
      <c r="A2" s="14"/>
      <c r="B2" s="14"/>
      <c r="C2" s="14"/>
      <c r="D2" s="14"/>
      <c r="E2" s="14"/>
      <c r="F2" s="14"/>
      <c r="G2" s="14"/>
      <c r="H2" s="14"/>
      <c r="I2" s="14"/>
      <c r="J2" s="14"/>
      <c r="K2" s="38"/>
      <c r="L2" s="45"/>
      <c r="M2" s="14"/>
      <c r="N2" s="116" t="s">
        <v>0</v>
      </c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9"/>
      <c r="AA2" s="18"/>
      <c r="AB2" s="18" t="s">
        <v>1</v>
      </c>
      <c r="AC2" s="18"/>
      <c r="AD2" s="18"/>
      <c r="AE2" s="18"/>
      <c r="AF2" s="125" t="s">
        <v>2</v>
      </c>
      <c r="AG2" s="125"/>
      <c r="AH2" s="125"/>
      <c r="AI2" s="125"/>
      <c r="AJ2" s="125"/>
      <c r="AK2" s="125"/>
      <c r="AL2" s="125"/>
    </row>
    <row r="3" spans="1:50" ht="14.25" customHeight="1" x14ac:dyDescent="0.3">
      <c r="A3" s="14"/>
      <c r="B3" s="14"/>
      <c r="C3" s="14"/>
      <c r="D3" s="14"/>
      <c r="E3" s="14"/>
      <c r="F3" s="14"/>
      <c r="G3" s="14"/>
      <c r="H3" s="14"/>
      <c r="I3" s="14"/>
      <c r="J3" s="14"/>
      <c r="K3" s="38"/>
      <c r="L3" s="45"/>
      <c r="M3" s="14"/>
      <c r="N3" s="15"/>
      <c r="O3" s="15"/>
      <c r="P3" s="18"/>
      <c r="Q3" s="14"/>
      <c r="R3" s="14"/>
      <c r="S3" s="14"/>
      <c r="T3" s="14"/>
      <c r="U3" s="14"/>
      <c r="V3" s="14"/>
      <c r="W3" s="14"/>
      <c r="X3" s="14"/>
      <c r="Y3" s="14"/>
      <c r="Z3" s="19"/>
      <c r="AA3" s="18"/>
      <c r="AB3" s="18" t="s">
        <v>3</v>
      </c>
      <c r="AC3" s="18"/>
      <c r="AD3" s="18"/>
      <c r="AE3" s="18"/>
      <c r="AF3" s="126" t="s">
        <v>4</v>
      </c>
      <c r="AG3" s="126"/>
      <c r="AH3" s="126"/>
      <c r="AI3" s="126"/>
      <c r="AJ3" s="126"/>
      <c r="AK3" s="126"/>
      <c r="AL3" s="20"/>
    </row>
    <row r="4" spans="1:50" ht="14.25" customHeight="1" x14ac:dyDescent="0.2">
      <c r="A4" s="14"/>
      <c r="B4" s="30" t="s">
        <v>5</v>
      </c>
      <c r="C4" s="14"/>
      <c r="D4" s="14"/>
      <c r="E4" s="14"/>
      <c r="F4" s="14"/>
      <c r="G4" s="14"/>
      <c r="H4" s="14"/>
      <c r="I4" s="14"/>
      <c r="J4" s="14"/>
      <c r="K4" s="38"/>
      <c r="L4" s="45"/>
      <c r="M4" s="14"/>
      <c r="N4" s="116" t="s">
        <v>6</v>
      </c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9"/>
      <c r="AA4" s="18"/>
      <c r="AB4" s="18" t="s">
        <v>7</v>
      </c>
      <c r="AC4" s="18"/>
      <c r="AD4" s="18"/>
      <c r="AE4" s="18"/>
      <c r="AF4" s="116" t="s">
        <v>8</v>
      </c>
      <c r="AG4" s="116"/>
      <c r="AH4" s="116"/>
      <c r="AI4" s="116"/>
      <c r="AJ4" s="116"/>
      <c r="AK4" s="116"/>
      <c r="AL4" s="116"/>
    </row>
    <row r="5" spans="1:50" ht="14.25" customHeight="1" x14ac:dyDescent="0.2">
      <c r="A5" s="14"/>
      <c r="B5" s="30" t="s">
        <v>9</v>
      </c>
      <c r="C5" s="14"/>
      <c r="D5" s="14"/>
      <c r="E5" s="14"/>
      <c r="F5" s="14"/>
      <c r="G5" s="14"/>
      <c r="H5" s="14"/>
      <c r="I5" s="14"/>
      <c r="J5" s="14"/>
      <c r="K5" s="38"/>
      <c r="L5" s="45"/>
      <c r="M5" s="14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19"/>
      <c r="AA5" s="18"/>
      <c r="AB5" s="18" t="s">
        <v>10</v>
      </c>
      <c r="AC5" s="18"/>
      <c r="AD5" s="18"/>
      <c r="AE5" s="18"/>
      <c r="AF5" s="117">
        <v>45862</v>
      </c>
      <c r="AG5" s="117"/>
      <c r="AH5" s="117"/>
      <c r="AI5" s="117"/>
      <c r="AJ5" s="117"/>
      <c r="AK5" s="117"/>
      <c r="AL5" s="117"/>
    </row>
    <row r="6" spans="1:50" ht="14.25" customHeight="1" x14ac:dyDescent="0.2">
      <c r="A6" s="14"/>
      <c r="B6" s="30" t="s">
        <v>11</v>
      </c>
      <c r="C6" s="14"/>
      <c r="D6" s="14"/>
      <c r="E6" s="14"/>
      <c r="F6" s="14"/>
      <c r="G6" s="14"/>
      <c r="H6" s="14"/>
      <c r="I6" s="14"/>
      <c r="J6" s="14"/>
      <c r="K6" s="38"/>
      <c r="L6" s="45"/>
      <c r="M6" s="14"/>
      <c r="N6" s="116" t="s">
        <v>12</v>
      </c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9"/>
      <c r="AA6" s="18"/>
      <c r="AB6" s="18" t="s">
        <v>13</v>
      </c>
      <c r="AC6" s="18"/>
      <c r="AD6" s="18"/>
      <c r="AE6" s="18"/>
      <c r="AF6" s="116" t="s">
        <v>14</v>
      </c>
      <c r="AG6" s="116"/>
      <c r="AH6" s="116"/>
      <c r="AI6" s="116"/>
      <c r="AJ6" s="116"/>
      <c r="AK6" s="116"/>
      <c r="AL6" s="116"/>
    </row>
    <row r="7" spans="1:50" ht="14.25" customHeight="1" x14ac:dyDescent="0.2">
      <c r="A7" s="14"/>
      <c r="B7" s="30" t="s">
        <v>15</v>
      </c>
      <c r="C7" s="14"/>
      <c r="D7" s="14"/>
      <c r="E7" s="14"/>
      <c r="F7" s="14"/>
      <c r="G7" s="14"/>
      <c r="H7" s="14"/>
      <c r="I7" s="14"/>
      <c r="J7" s="14"/>
      <c r="K7" s="38"/>
      <c r="L7" s="45"/>
      <c r="M7" s="14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19"/>
      <c r="AA7" s="18"/>
      <c r="AB7" s="18" t="s">
        <v>10</v>
      </c>
      <c r="AC7" s="18"/>
      <c r="AD7" s="18"/>
      <c r="AE7" s="18"/>
      <c r="AF7" s="117">
        <v>45869</v>
      </c>
      <c r="AG7" s="117"/>
      <c r="AH7" s="117"/>
      <c r="AI7" s="117"/>
      <c r="AJ7" s="117"/>
      <c r="AK7" s="117"/>
      <c r="AL7" s="117"/>
    </row>
    <row r="8" spans="1:50" ht="14.25" customHeight="1" thickBot="1" x14ac:dyDescent="0.3">
      <c r="A8" s="22"/>
      <c r="B8" s="22"/>
      <c r="C8" s="22"/>
      <c r="D8" s="22"/>
      <c r="E8" s="22"/>
      <c r="F8" s="22"/>
      <c r="G8" s="22"/>
      <c r="H8" s="22"/>
      <c r="I8" s="22"/>
      <c r="J8" s="22"/>
      <c r="K8" s="46"/>
      <c r="L8" s="47"/>
      <c r="M8" s="22"/>
      <c r="N8" s="22"/>
      <c r="O8" s="22"/>
      <c r="P8" s="23"/>
      <c r="Q8" s="23"/>
      <c r="R8" s="23"/>
      <c r="S8" s="23"/>
      <c r="T8" s="23"/>
      <c r="U8" s="23"/>
      <c r="V8" s="23"/>
      <c r="W8" s="23"/>
      <c r="X8" s="23"/>
      <c r="Y8" s="23"/>
      <c r="Z8" s="24"/>
      <c r="AA8" s="23"/>
      <c r="AB8" s="23"/>
      <c r="AC8" s="23"/>
      <c r="AD8" s="23"/>
      <c r="AE8" s="23"/>
      <c r="AF8" s="23"/>
      <c r="AG8" s="23"/>
      <c r="AH8" s="23"/>
      <c r="AI8" s="23"/>
      <c r="AJ8" s="17"/>
      <c r="AK8" s="17"/>
      <c r="AL8" s="17"/>
    </row>
    <row r="9" spans="1:50" ht="14.25" customHeight="1" thickTop="1" x14ac:dyDescent="0.25">
      <c r="A9" s="118" t="s">
        <v>16</v>
      </c>
      <c r="B9" s="118"/>
      <c r="C9" s="118"/>
      <c r="D9" s="118"/>
      <c r="E9" s="119"/>
      <c r="F9" s="122" t="s">
        <v>17</v>
      </c>
      <c r="G9" s="122"/>
      <c r="H9" s="122"/>
      <c r="I9" s="122" t="s">
        <v>18</v>
      </c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  <c r="AA9" s="122"/>
      <c r="AB9" s="122"/>
      <c r="AC9" s="122"/>
      <c r="AD9" s="122"/>
      <c r="AE9" s="25"/>
      <c r="AF9" s="25"/>
      <c r="AG9" s="25"/>
      <c r="AH9" s="25"/>
      <c r="AI9" s="26"/>
      <c r="AJ9" s="27"/>
      <c r="AK9" s="27"/>
      <c r="AL9" s="27"/>
    </row>
    <row r="10" spans="1:50" ht="14.25" customHeight="1" thickBot="1" x14ac:dyDescent="0.3">
      <c r="A10" s="120"/>
      <c r="B10" s="120"/>
      <c r="C10" s="120"/>
      <c r="D10" s="120"/>
      <c r="E10" s="121"/>
      <c r="F10" s="123"/>
      <c r="G10" s="124"/>
      <c r="H10" s="124"/>
      <c r="I10" s="124"/>
      <c r="J10" s="124"/>
      <c r="K10" s="124"/>
      <c r="L10" s="124"/>
      <c r="M10" s="124"/>
      <c r="N10" s="124"/>
      <c r="O10" s="124"/>
      <c r="P10" s="124"/>
      <c r="Q10" s="124"/>
      <c r="R10" s="124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16"/>
      <c r="AF10" s="16"/>
      <c r="AG10" s="16"/>
      <c r="AH10" s="16"/>
      <c r="AI10" s="28"/>
      <c r="AJ10" s="29"/>
      <c r="AK10" s="29"/>
      <c r="AL10" s="29"/>
    </row>
    <row r="11" spans="1:50" ht="14.25" customHeight="1" thickTop="1" x14ac:dyDescent="0.2">
      <c r="A11" s="2"/>
      <c r="B11" s="2"/>
      <c r="C11" s="2"/>
      <c r="D11" s="2"/>
      <c r="E11" s="3"/>
      <c r="F11" s="70"/>
      <c r="G11" s="5"/>
      <c r="H11" s="6"/>
      <c r="I11" s="6"/>
      <c r="J11" s="6"/>
      <c r="K11" s="48"/>
      <c r="L11" s="48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7"/>
      <c r="AJ11" s="4"/>
      <c r="AK11" s="4"/>
      <c r="AL11" s="4"/>
    </row>
    <row r="12" spans="1:50" ht="14.25" customHeight="1" x14ac:dyDescent="0.25">
      <c r="A12" s="8"/>
      <c r="B12" s="8"/>
      <c r="C12" s="8"/>
      <c r="D12" s="8"/>
      <c r="E12" s="13"/>
      <c r="F12" s="9"/>
      <c r="G12" s="14" t="s">
        <v>19</v>
      </c>
      <c r="H12" s="14"/>
      <c r="I12" s="31">
        <v>500</v>
      </c>
      <c r="J12" s="14" t="s">
        <v>20</v>
      </c>
      <c r="K12" s="38"/>
      <c r="L12" s="44"/>
      <c r="M12" s="21"/>
      <c r="N12" s="16" t="s">
        <v>21</v>
      </c>
      <c r="O12" s="21"/>
      <c r="P12" s="31">
        <f>205</f>
        <v>205</v>
      </c>
      <c r="Q12" s="16" t="s">
        <v>22</v>
      </c>
      <c r="R12" s="21"/>
      <c r="S12" s="15"/>
      <c r="T12" s="15"/>
      <c r="U12" s="15"/>
      <c r="V12" s="17"/>
      <c r="W12" s="21"/>
      <c r="X12" s="18"/>
      <c r="Y12" s="18"/>
      <c r="Z12" s="18"/>
      <c r="AA12" s="18"/>
      <c r="AB12" s="18"/>
      <c r="AC12" s="18"/>
      <c r="AD12" s="18"/>
      <c r="AE12" s="10"/>
      <c r="AF12" s="10"/>
      <c r="AG12" s="10"/>
      <c r="AH12" s="10"/>
      <c r="AI12" s="11"/>
      <c r="AJ12" s="9"/>
      <c r="AK12" s="58"/>
      <c r="AL12" s="58"/>
      <c r="AM12" s="33"/>
      <c r="AN12" s="33"/>
      <c r="AO12" s="33"/>
      <c r="AP12" s="36"/>
      <c r="AQ12" s="36"/>
      <c r="AR12" s="37"/>
      <c r="AS12" s="37"/>
      <c r="AT12" s="37"/>
      <c r="AU12" s="37"/>
      <c r="AV12" s="37"/>
      <c r="AW12" s="37"/>
      <c r="AX12" s="37"/>
    </row>
    <row r="13" spans="1:50" ht="14.25" customHeight="1" x14ac:dyDescent="0.2">
      <c r="A13" s="8"/>
      <c r="B13" s="8"/>
      <c r="C13" s="8"/>
      <c r="D13" s="8"/>
      <c r="E13" s="13"/>
      <c r="F13" s="9"/>
      <c r="G13" s="113" t="s">
        <v>23</v>
      </c>
      <c r="H13" s="113"/>
      <c r="I13" s="102" t="s">
        <v>24</v>
      </c>
      <c r="J13" s="102"/>
      <c r="K13" s="102" t="s">
        <v>25</v>
      </c>
      <c r="L13" s="102"/>
      <c r="M13" s="102"/>
      <c r="N13" s="114" t="s">
        <v>26</v>
      </c>
      <c r="O13" s="115"/>
      <c r="P13" s="113" t="s">
        <v>27</v>
      </c>
      <c r="Q13" s="113"/>
      <c r="R13" s="113"/>
      <c r="S13" s="113" t="s">
        <v>28</v>
      </c>
      <c r="T13" s="113"/>
      <c r="U13" s="113"/>
      <c r="V13" s="102" t="s">
        <v>29</v>
      </c>
      <c r="W13" s="102"/>
      <c r="X13" s="102"/>
      <c r="Y13" s="110" t="s">
        <v>30</v>
      </c>
      <c r="Z13" s="111"/>
      <c r="AA13" s="34" t="s">
        <v>31</v>
      </c>
      <c r="AB13" s="112" t="s">
        <v>32</v>
      </c>
      <c r="AC13" s="112"/>
      <c r="AD13" s="112"/>
      <c r="AE13" s="32" t="s">
        <v>33</v>
      </c>
      <c r="AF13" s="32"/>
      <c r="AG13" s="32"/>
      <c r="AH13" s="55" t="s">
        <v>34</v>
      </c>
      <c r="AI13" s="56"/>
      <c r="AJ13" s="61" t="s">
        <v>35</v>
      </c>
      <c r="AK13" s="61"/>
      <c r="AL13" s="55"/>
      <c r="AM13" s="33"/>
      <c r="AN13" s="33"/>
      <c r="AO13" s="36"/>
      <c r="AP13" s="36"/>
      <c r="AQ13" s="37"/>
      <c r="AR13" s="37"/>
      <c r="AS13" s="37"/>
      <c r="AT13" s="37"/>
      <c r="AU13" s="37"/>
      <c r="AV13" s="37"/>
      <c r="AW13" s="37"/>
    </row>
    <row r="14" spans="1:50" ht="14.25" customHeight="1" x14ac:dyDescent="0.2">
      <c r="A14" s="8"/>
      <c r="B14" s="8"/>
      <c r="C14" s="8"/>
      <c r="D14" s="8"/>
      <c r="E14" s="13"/>
      <c r="F14" s="9"/>
      <c r="G14" s="113" t="s">
        <v>36</v>
      </c>
      <c r="H14" s="113"/>
      <c r="I14" s="102" t="s">
        <v>37</v>
      </c>
      <c r="J14" s="102"/>
      <c r="K14" s="102" t="s">
        <v>38</v>
      </c>
      <c r="L14" s="102"/>
      <c r="M14" s="102"/>
      <c r="N14" s="114" t="s">
        <v>39</v>
      </c>
      <c r="O14" s="115"/>
      <c r="P14" s="113" t="s">
        <v>36</v>
      </c>
      <c r="Q14" s="113"/>
      <c r="R14" s="113"/>
      <c r="S14" s="113" t="s">
        <v>40</v>
      </c>
      <c r="T14" s="113"/>
      <c r="U14" s="113"/>
      <c r="V14" s="102" t="s">
        <v>41</v>
      </c>
      <c r="W14" s="102"/>
      <c r="X14" s="102"/>
      <c r="Y14" s="110" t="s">
        <v>42</v>
      </c>
      <c r="Z14" s="111"/>
      <c r="AA14" s="54" t="s">
        <v>42</v>
      </c>
      <c r="AB14" s="112" t="s">
        <v>42</v>
      </c>
      <c r="AC14" s="112"/>
      <c r="AD14" s="112"/>
      <c r="AE14" s="102">
        <v>12</v>
      </c>
      <c r="AF14" s="102"/>
      <c r="AG14" s="102"/>
      <c r="AH14" s="104">
        <v>0.88800000000000001</v>
      </c>
      <c r="AI14" s="109"/>
      <c r="AJ14" s="96">
        <f>AH14*9.81*1.35/1000</f>
        <v>1.1760228000000001E-2</v>
      </c>
      <c r="AK14" s="96"/>
      <c r="AL14" s="96"/>
      <c r="AM14" s="33"/>
      <c r="AN14" s="33"/>
      <c r="AO14" s="36"/>
      <c r="AP14" s="36"/>
      <c r="AQ14" s="37"/>
      <c r="AR14" s="37"/>
      <c r="AS14" s="37"/>
      <c r="AT14" s="37"/>
      <c r="AU14" s="37"/>
      <c r="AV14" s="37"/>
      <c r="AW14" s="37"/>
    </row>
    <row r="15" spans="1:50" ht="14.25" customHeight="1" x14ac:dyDescent="0.2">
      <c r="A15" s="8"/>
      <c r="B15" s="8"/>
      <c r="C15" s="8"/>
      <c r="D15" s="8"/>
      <c r="E15" s="13"/>
      <c r="F15" s="9"/>
      <c r="G15" s="102">
        <v>16</v>
      </c>
      <c r="H15" s="102"/>
      <c r="I15" s="98">
        <f>PI()*G15^2/4</f>
        <v>201.06192982974676</v>
      </c>
      <c r="J15" s="98"/>
      <c r="K15" s="98">
        <f>PI()*G15^4/64</f>
        <v>3216.9908772759482</v>
      </c>
      <c r="L15" s="98"/>
      <c r="M15" s="98"/>
      <c r="N15" s="105">
        <f>K15*$P$12/1000000</f>
        <v>0.65948312984156932</v>
      </c>
      <c r="O15" s="106"/>
      <c r="P15" s="107">
        <f t="shared" ref="P15:P19" si="0">(K15/I15)^0.5</f>
        <v>4</v>
      </c>
      <c r="Q15" s="107"/>
      <c r="R15" s="107"/>
      <c r="S15" s="108">
        <f>PI()*G15^3/32</f>
        <v>402.12385965949352</v>
      </c>
      <c r="T15" s="108"/>
      <c r="U15" s="108"/>
      <c r="V15" s="98">
        <f>G15^3/6</f>
        <v>682.66666666666663</v>
      </c>
      <c r="W15" s="98"/>
      <c r="X15" s="98"/>
      <c r="Y15" s="99">
        <f>($I$12/1.15)*S15/1000000</f>
        <v>0.17483646072151893</v>
      </c>
      <c r="Z15" s="100"/>
      <c r="AA15" s="35">
        <f>AB15/1.5</f>
        <v>0.1978743961352657</v>
      </c>
      <c r="AB15" s="101">
        <f>Y15*V15/S15</f>
        <v>0.29681159420289854</v>
      </c>
      <c r="AC15" s="101"/>
      <c r="AD15" s="101"/>
      <c r="AE15" s="102">
        <v>16</v>
      </c>
      <c r="AF15" s="102"/>
      <c r="AG15" s="102"/>
      <c r="AH15" s="104">
        <v>1.579</v>
      </c>
      <c r="AI15" s="109"/>
      <c r="AJ15" s="96">
        <f t="shared" ref="AJ15:AJ19" si="1">AH15*9.81*1.35/1000</f>
        <v>2.0911486500000003E-2</v>
      </c>
      <c r="AK15" s="96"/>
      <c r="AL15" s="96"/>
      <c r="AM15" s="33"/>
      <c r="AN15" s="33"/>
      <c r="AO15" s="36"/>
      <c r="AP15" s="36"/>
      <c r="AQ15" s="37"/>
      <c r="AR15" s="37"/>
      <c r="AS15" s="37"/>
      <c r="AT15" s="37"/>
      <c r="AU15" s="37"/>
      <c r="AV15" s="37"/>
      <c r="AW15" s="37"/>
    </row>
    <row r="16" spans="1:50" ht="15" x14ac:dyDescent="0.2">
      <c r="A16" s="8"/>
      <c r="B16" s="8"/>
      <c r="C16" s="8"/>
      <c r="D16" s="8"/>
      <c r="E16" s="13"/>
      <c r="F16" s="9"/>
      <c r="G16" s="102">
        <v>20</v>
      </c>
      <c r="H16" s="102"/>
      <c r="I16" s="98">
        <f t="shared" ref="I16:I19" si="2">PI()*G16^2/4</f>
        <v>314.15926535897933</v>
      </c>
      <c r="J16" s="98"/>
      <c r="K16" s="98">
        <f t="shared" ref="K16:K19" si="3">PI()*G16^4/64</f>
        <v>7853.981633974483</v>
      </c>
      <c r="L16" s="98"/>
      <c r="M16" s="98"/>
      <c r="N16" s="105">
        <f t="shared" ref="N16:N19" si="4">K16*$P$12/1000000</f>
        <v>1.6100662349647692</v>
      </c>
      <c r="O16" s="106"/>
      <c r="P16" s="107">
        <f t="shared" si="0"/>
        <v>5</v>
      </c>
      <c r="Q16" s="107"/>
      <c r="R16" s="107"/>
      <c r="S16" s="108">
        <f t="shared" ref="S16:S19" si="5">PI()*G16^3/32</f>
        <v>785.39816339744823</v>
      </c>
      <c r="T16" s="108"/>
      <c r="U16" s="108"/>
      <c r="V16" s="98">
        <f t="shared" ref="V16:V19" si="6">G16^3/6</f>
        <v>1333.3333333333333</v>
      </c>
      <c r="W16" s="98"/>
      <c r="X16" s="98"/>
      <c r="Y16" s="99">
        <f t="shared" ref="Y16:Y19" si="7">($I$12/1.15)*S16/1000000</f>
        <v>0.34147746234671661</v>
      </c>
      <c r="Z16" s="100"/>
      <c r="AA16" s="35">
        <f t="shared" ref="AA16:AA19" si="8">AB16/1.5</f>
        <v>0.38647342995169076</v>
      </c>
      <c r="AB16" s="101">
        <f t="shared" ref="AB16:AB19" si="9">Y16*V16/S16</f>
        <v>0.57971014492753614</v>
      </c>
      <c r="AC16" s="101"/>
      <c r="AD16" s="101"/>
      <c r="AE16" s="102">
        <v>20</v>
      </c>
      <c r="AF16" s="102"/>
      <c r="AG16" s="102"/>
      <c r="AH16" s="104">
        <v>2.4660000000000002</v>
      </c>
      <c r="AI16" s="109"/>
      <c r="AJ16" s="96">
        <f t="shared" si="1"/>
        <v>3.2658471000000008E-2</v>
      </c>
      <c r="AK16" s="96"/>
      <c r="AL16" s="96"/>
      <c r="AM16" s="33"/>
      <c r="AN16" s="33"/>
      <c r="AO16" s="36"/>
      <c r="AP16" s="36"/>
      <c r="AQ16" s="37"/>
      <c r="AR16" s="37"/>
      <c r="AS16" s="37"/>
      <c r="AT16" s="37"/>
      <c r="AU16" s="37"/>
      <c r="AV16" s="37"/>
      <c r="AW16" s="37"/>
    </row>
    <row r="17" spans="1:53" ht="15" x14ac:dyDescent="0.2">
      <c r="A17" s="8"/>
      <c r="B17" s="8"/>
      <c r="C17" s="8"/>
      <c r="D17" s="8"/>
      <c r="E17" s="13"/>
      <c r="F17" s="9"/>
      <c r="G17" s="102">
        <v>25</v>
      </c>
      <c r="H17" s="102"/>
      <c r="I17" s="98">
        <f t="shared" si="2"/>
        <v>490.87385212340519</v>
      </c>
      <c r="J17" s="98"/>
      <c r="K17" s="98">
        <f t="shared" si="3"/>
        <v>19174.759848570513</v>
      </c>
      <c r="L17" s="98"/>
      <c r="M17" s="98"/>
      <c r="N17" s="105">
        <f t="shared" si="4"/>
        <v>3.930825768956955</v>
      </c>
      <c r="O17" s="106"/>
      <c r="P17" s="107">
        <f t="shared" si="0"/>
        <v>6.2499999999999991</v>
      </c>
      <c r="Q17" s="107"/>
      <c r="R17" s="107"/>
      <c r="S17" s="108">
        <f t="shared" si="5"/>
        <v>1533.9807878856411</v>
      </c>
      <c r="T17" s="108"/>
      <c r="U17" s="108"/>
      <c r="V17" s="98">
        <f t="shared" si="6"/>
        <v>2604.1666666666665</v>
      </c>
      <c r="W17" s="98"/>
      <c r="X17" s="98"/>
      <c r="Y17" s="99">
        <f t="shared" si="7"/>
        <v>0.66694816864593098</v>
      </c>
      <c r="Z17" s="100"/>
      <c r="AA17" s="35">
        <f t="shared" si="8"/>
        <v>0.75483091787439616</v>
      </c>
      <c r="AB17" s="101">
        <f t="shared" si="9"/>
        <v>1.1322463768115942</v>
      </c>
      <c r="AC17" s="101"/>
      <c r="AD17" s="101"/>
      <c r="AE17" s="102">
        <v>25</v>
      </c>
      <c r="AF17" s="102"/>
      <c r="AG17" s="102"/>
      <c r="AH17" s="104">
        <v>3.8540000000000001</v>
      </c>
      <c r="AI17" s="109"/>
      <c r="AJ17" s="97">
        <f t="shared" si="1"/>
        <v>5.1040449000000009E-2</v>
      </c>
      <c r="AK17" s="97"/>
      <c r="AL17" s="97"/>
      <c r="AM17" s="33"/>
      <c r="AN17" s="33"/>
      <c r="AO17" s="36"/>
      <c r="AP17" s="36"/>
      <c r="AQ17" s="37"/>
      <c r="AR17" s="37"/>
      <c r="AS17" s="37"/>
      <c r="AT17" s="37"/>
      <c r="AU17" s="37"/>
      <c r="AV17" s="37"/>
      <c r="AW17" s="37"/>
    </row>
    <row r="18" spans="1:53" ht="15" x14ac:dyDescent="0.2">
      <c r="A18" s="8"/>
      <c r="B18" s="8"/>
      <c r="C18" s="8"/>
      <c r="D18" s="8"/>
      <c r="E18" s="13"/>
      <c r="F18" s="9"/>
      <c r="G18" s="102">
        <v>32</v>
      </c>
      <c r="H18" s="102"/>
      <c r="I18" s="98">
        <f t="shared" si="2"/>
        <v>804.24771931898704</v>
      </c>
      <c r="J18" s="98"/>
      <c r="K18" s="98">
        <f t="shared" si="3"/>
        <v>51471.85403641517</v>
      </c>
      <c r="L18" s="98"/>
      <c r="M18" s="98"/>
      <c r="N18" s="105">
        <f t="shared" si="4"/>
        <v>10.551730077465109</v>
      </c>
      <c r="O18" s="106"/>
      <c r="P18" s="107">
        <f t="shared" si="0"/>
        <v>8</v>
      </c>
      <c r="Q18" s="107"/>
      <c r="R18" s="107"/>
      <c r="S18" s="108">
        <f t="shared" si="5"/>
        <v>3216.9908772759482</v>
      </c>
      <c r="T18" s="108"/>
      <c r="U18" s="108"/>
      <c r="V18" s="98">
        <f t="shared" si="6"/>
        <v>5461.333333333333</v>
      </c>
      <c r="W18" s="98"/>
      <c r="X18" s="98"/>
      <c r="Y18" s="99">
        <f t="shared" si="7"/>
        <v>1.3986916857721514</v>
      </c>
      <c r="Z18" s="100"/>
      <c r="AA18" s="35">
        <f t="shared" si="8"/>
        <v>1.5829951690821256</v>
      </c>
      <c r="AB18" s="101">
        <f t="shared" si="9"/>
        <v>2.3744927536231883</v>
      </c>
      <c r="AC18" s="101"/>
      <c r="AD18" s="101"/>
      <c r="AE18" s="102">
        <v>32</v>
      </c>
      <c r="AF18" s="102"/>
      <c r="AG18" s="102"/>
      <c r="AH18" s="103">
        <v>6.3129999999999997</v>
      </c>
      <c r="AI18" s="104"/>
      <c r="AJ18" s="97">
        <f t="shared" si="1"/>
        <v>8.3606215500000011E-2</v>
      </c>
      <c r="AK18" s="97"/>
      <c r="AL18" s="97"/>
      <c r="AM18" s="33"/>
      <c r="AN18" s="33"/>
      <c r="AO18" s="36"/>
      <c r="AP18" s="36"/>
      <c r="AQ18" s="37"/>
      <c r="AR18" s="37"/>
      <c r="AS18" s="37"/>
      <c r="AT18" s="37"/>
      <c r="AU18" s="37"/>
      <c r="AV18" s="37"/>
      <c r="AW18" s="37"/>
    </row>
    <row r="19" spans="1:53" ht="15" x14ac:dyDescent="0.2">
      <c r="A19" s="8"/>
      <c r="B19" s="8"/>
      <c r="C19" s="8"/>
      <c r="D19" s="8"/>
      <c r="E19" s="13"/>
      <c r="F19" s="9"/>
      <c r="G19" s="102">
        <v>40</v>
      </c>
      <c r="H19" s="102"/>
      <c r="I19" s="98">
        <f t="shared" si="2"/>
        <v>1256.6370614359173</v>
      </c>
      <c r="J19" s="98"/>
      <c r="K19" s="98">
        <f t="shared" si="3"/>
        <v>125663.70614359173</v>
      </c>
      <c r="L19" s="98"/>
      <c r="M19" s="98"/>
      <c r="N19" s="105">
        <f t="shared" si="4"/>
        <v>25.761059759436307</v>
      </c>
      <c r="O19" s="106"/>
      <c r="P19" s="107">
        <f t="shared" si="0"/>
        <v>10</v>
      </c>
      <c r="Q19" s="107"/>
      <c r="R19" s="107"/>
      <c r="S19" s="108">
        <f t="shared" si="5"/>
        <v>6283.1853071795858</v>
      </c>
      <c r="T19" s="108"/>
      <c r="U19" s="108"/>
      <c r="V19" s="98">
        <f t="shared" si="6"/>
        <v>10666.666666666666</v>
      </c>
      <c r="W19" s="98"/>
      <c r="X19" s="98"/>
      <c r="Y19" s="99">
        <f t="shared" si="7"/>
        <v>2.7318196987737329</v>
      </c>
      <c r="Z19" s="100"/>
      <c r="AA19" s="35">
        <f t="shared" si="8"/>
        <v>3.0917874396135261</v>
      </c>
      <c r="AB19" s="101">
        <f t="shared" si="9"/>
        <v>4.6376811594202891</v>
      </c>
      <c r="AC19" s="101"/>
      <c r="AD19" s="101"/>
      <c r="AE19" s="102">
        <v>40</v>
      </c>
      <c r="AF19" s="102"/>
      <c r="AG19" s="102"/>
      <c r="AH19" s="103">
        <v>9.8640000000000008</v>
      </c>
      <c r="AI19" s="104"/>
      <c r="AJ19" s="97">
        <f t="shared" si="1"/>
        <v>0.13063388400000003</v>
      </c>
      <c r="AK19" s="97"/>
      <c r="AL19" s="97"/>
      <c r="AM19" s="33"/>
      <c r="AN19" s="33"/>
      <c r="AO19" s="36"/>
      <c r="AP19" s="36"/>
      <c r="AQ19" s="37"/>
      <c r="AR19" s="37"/>
      <c r="AS19" s="37"/>
      <c r="AT19" s="37"/>
      <c r="AU19" s="37"/>
      <c r="AV19" s="37"/>
      <c r="AW19" s="37"/>
    </row>
    <row r="20" spans="1:53" ht="14.25" customHeight="1" x14ac:dyDescent="0.2">
      <c r="E20" s="13"/>
      <c r="G20" s="14"/>
      <c r="H20" s="14"/>
      <c r="I20" s="14"/>
      <c r="J20" s="14"/>
      <c r="K20" s="38"/>
      <c r="AI20" s="10"/>
      <c r="AJ20" s="59"/>
      <c r="AK20" s="60"/>
      <c r="AL20" s="60"/>
    </row>
    <row r="21" spans="1:53" ht="14.25" hidden="1" customHeight="1" x14ac:dyDescent="0.2">
      <c r="E21" s="13"/>
      <c r="G21" s="14"/>
      <c r="H21" s="14"/>
      <c r="I21" s="14"/>
      <c r="J21" s="14"/>
      <c r="K21" s="38"/>
      <c r="AI21" s="10"/>
      <c r="AJ21" s="12"/>
      <c r="AK21" s="8"/>
      <c r="AL21" s="8"/>
    </row>
    <row r="22" spans="1:53" ht="14.25" customHeight="1" x14ac:dyDescent="0.2">
      <c r="E22" s="13"/>
      <c r="G22" s="14"/>
      <c r="H22" s="14"/>
      <c r="I22" s="14"/>
      <c r="J22" s="14"/>
      <c r="K22" s="38"/>
      <c r="N22" s="14"/>
      <c r="P22" s="14" t="s">
        <v>43</v>
      </c>
      <c r="AI22" s="10"/>
      <c r="AJ22" s="12"/>
      <c r="AK22" s="8"/>
      <c r="AL22" s="8"/>
    </row>
    <row r="23" spans="1:53" ht="14.25" customHeight="1" x14ac:dyDescent="0.2">
      <c r="E23" s="13"/>
      <c r="G23" s="14"/>
      <c r="H23" s="14"/>
      <c r="I23" s="14"/>
      <c r="J23" s="14"/>
      <c r="K23" s="38"/>
      <c r="L23" s="14"/>
      <c r="M23" s="14"/>
      <c r="N23" s="14"/>
      <c r="O23" s="14"/>
      <c r="P23" s="38"/>
      <c r="AA23" s="14" t="s">
        <v>44</v>
      </c>
      <c r="AI23" s="10"/>
      <c r="AJ23" s="12"/>
      <c r="AK23" s="8"/>
      <c r="AL23" s="8"/>
    </row>
    <row r="24" spans="1:53" ht="14.25" customHeight="1" x14ac:dyDescent="0.2">
      <c r="E24" s="13"/>
      <c r="G24" s="14"/>
      <c r="H24" s="14"/>
      <c r="I24" s="14"/>
      <c r="J24" s="14"/>
      <c r="K24" s="38"/>
      <c r="L24" s="14"/>
      <c r="M24" s="14" t="s">
        <v>45</v>
      </c>
      <c r="N24" s="14"/>
      <c r="O24" s="14"/>
      <c r="P24" s="38"/>
      <c r="AE24" s="14" t="s">
        <v>46</v>
      </c>
      <c r="AI24" s="64"/>
      <c r="AJ24" s="12"/>
      <c r="AK24" s="8"/>
      <c r="AL24" s="8"/>
    </row>
    <row r="25" spans="1:53" ht="14.25" customHeight="1" x14ac:dyDescent="0.2">
      <c r="E25" s="13"/>
      <c r="G25" s="14"/>
      <c r="H25" s="14"/>
      <c r="I25" s="14"/>
      <c r="J25" s="14"/>
      <c r="K25" s="38"/>
      <c r="L25" s="14"/>
      <c r="M25" s="14"/>
      <c r="N25" s="14"/>
      <c r="O25" s="14"/>
      <c r="P25" s="38"/>
      <c r="AI25" s="64"/>
      <c r="AJ25" s="12"/>
      <c r="AK25" s="8"/>
      <c r="AL25" s="8"/>
    </row>
    <row r="26" spans="1:53" ht="14.25" customHeight="1" x14ac:dyDescent="0.2">
      <c r="E26" s="13"/>
      <c r="G26" s="14"/>
      <c r="H26" s="14"/>
      <c r="I26" s="14"/>
      <c r="J26" s="14" t="s">
        <v>47</v>
      </c>
      <c r="K26" s="38"/>
      <c r="L26" s="14"/>
      <c r="M26" s="14"/>
      <c r="N26" s="14" t="s">
        <v>48</v>
      </c>
      <c r="O26" s="14"/>
      <c r="P26" s="38"/>
      <c r="X26" s="14" t="s">
        <v>49</v>
      </c>
      <c r="AF26" s="65"/>
      <c r="AI26" s="64"/>
      <c r="AJ26" s="12"/>
      <c r="AK26" s="8"/>
      <c r="AL26" s="8"/>
    </row>
    <row r="27" spans="1:53" ht="14.25" customHeight="1" x14ac:dyDescent="0.2">
      <c r="E27" s="13"/>
      <c r="G27" s="14"/>
      <c r="H27" s="14"/>
      <c r="I27" s="14"/>
      <c r="J27" s="14"/>
      <c r="K27" s="38"/>
      <c r="L27" s="14"/>
      <c r="M27" s="14"/>
      <c r="N27" s="14"/>
      <c r="O27" s="14"/>
      <c r="P27" s="14"/>
      <c r="Q27" s="14"/>
      <c r="R27" s="14"/>
      <c r="S27" s="14"/>
      <c r="T27" s="38"/>
      <c r="U27" s="49"/>
      <c r="AF27" s="65"/>
      <c r="AI27" s="64"/>
      <c r="AJ27" s="12"/>
      <c r="AK27" s="8"/>
      <c r="AL27" s="8"/>
    </row>
    <row r="28" spans="1:53" ht="14.25" customHeight="1" x14ac:dyDescent="0.2">
      <c r="E28" s="13"/>
      <c r="G28" s="14"/>
      <c r="H28" s="14"/>
      <c r="I28" s="14"/>
      <c r="J28" s="14" t="s">
        <v>50</v>
      </c>
      <c r="K28" s="38"/>
      <c r="AF28" s="65"/>
      <c r="AI28" s="64"/>
      <c r="AJ28" s="12"/>
    </row>
    <row r="29" spans="1:53" ht="14.25" customHeight="1" x14ac:dyDescent="0.2">
      <c r="E29" s="13"/>
      <c r="G29" s="14"/>
      <c r="H29" s="14"/>
      <c r="I29" s="14"/>
      <c r="J29" s="14"/>
      <c r="K29" s="38"/>
      <c r="AF29" s="65"/>
      <c r="AI29" s="64"/>
      <c r="AJ29" s="12"/>
    </row>
    <row r="30" spans="1:53" ht="14.25" customHeight="1" x14ac:dyDescent="0.2">
      <c r="E30" s="13"/>
      <c r="G30" s="14" t="s">
        <v>51</v>
      </c>
      <c r="H30" s="14"/>
      <c r="I30" s="14"/>
      <c r="AI30" s="64"/>
      <c r="AJ30" s="12"/>
    </row>
    <row r="31" spans="1:53" ht="14.25" customHeight="1" thickBot="1" x14ac:dyDescent="0.25">
      <c r="E31" s="13"/>
      <c r="G31" s="14"/>
      <c r="H31" s="14"/>
      <c r="I31" s="14"/>
      <c r="AG31" s="10"/>
      <c r="AI31" s="64"/>
      <c r="AJ31" s="12"/>
    </row>
    <row r="32" spans="1:53" ht="59.85" customHeight="1" thickBot="1" x14ac:dyDescent="0.25">
      <c r="E32" s="13"/>
      <c r="G32" s="86" t="s">
        <v>52</v>
      </c>
      <c r="H32" s="86" t="s">
        <v>53</v>
      </c>
      <c r="I32" s="87" t="s">
        <v>54</v>
      </c>
      <c r="J32" s="86" t="s">
        <v>55</v>
      </c>
      <c r="K32" s="88" t="s">
        <v>56</v>
      </c>
      <c r="L32" s="88" t="s">
        <v>57</v>
      </c>
      <c r="M32" s="89" t="s">
        <v>58</v>
      </c>
      <c r="N32" s="85" t="s">
        <v>59</v>
      </c>
      <c r="O32" s="85" t="s">
        <v>60</v>
      </c>
      <c r="P32" s="85" t="s">
        <v>61</v>
      </c>
      <c r="Q32" s="85" t="s">
        <v>62</v>
      </c>
      <c r="R32" s="85" t="s">
        <v>63</v>
      </c>
      <c r="S32" s="85" t="s">
        <v>64</v>
      </c>
      <c r="T32" s="85" t="s">
        <v>65</v>
      </c>
      <c r="U32" s="85" t="s">
        <v>66</v>
      </c>
      <c r="V32" s="85" t="s">
        <v>67</v>
      </c>
      <c r="W32" s="90" t="s">
        <v>68</v>
      </c>
      <c r="X32" s="85" t="s">
        <v>69</v>
      </c>
      <c r="Y32" s="85" t="s">
        <v>70</v>
      </c>
      <c r="Z32" s="91" t="s">
        <v>71</v>
      </c>
      <c r="AA32" s="91" t="s">
        <v>72</v>
      </c>
      <c r="AB32" s="91" t="s">
        <v>73</v>
      </c>
      <c r="AC32" s="92" t="s">
        <v>74</v>
      </c>
      <c r="AD32" s="92" t="s">
        <v>75</v>
      </c>
      <c r="AE32" s="92" t="s">
        <v>76</v>
      </c>
      <c r="AF32" s="92" t="s">
        <v>77</v>
      </c>
      <c r="AG32" s="92" t="s">
        <v>78</v>
      </c>
      <c r="AH32" s="86" t="s">
        <v>79</v>
      </c>
      <c r="AJ32" s="12"/>
      <c r="AZ32" s="8"/>
      <c r="BA32" s="8"/>
    </row>
    <row r="33" spans="5:52" ht="14.25" hidden="1" customHeight="1" x14ac:dyDescent="0.2">
      <c r="E33" s="13"/>
      <c r="G33" s="41">
        <v>1</v>
      </c>
      <c r="H33" s="41">
        <v>9</v>
      </c>
      <c r="I33" s="41">
        <v>6.8</v>
      </c>
      <c r="J33" s="39">
        <v>7.1</v>
      </c>
      <c r="K33" s="43"/>
      <c r="L33" s="39">
        <f>J33+K33</f>
        <v>7.1</v>
      </c>
      <c r="M33" s="39">
        <f>I33/5</f>
        <v>1.3599999999999999</v>
      </c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62"/>
      <c r="Y33" s="62"/>
      <c r="Z33" s="62"/>
      <c r="AA33" s="62"/>
      <c r="AB33" s="66"/>
      <c r="AC33" s="53"/>
      <c r="AD33" s="53"/>
      <c r="AE33" s="50"/>
      <c r="AF33" s="50"/>
      <c r="AG33" s="50"/>
      <c r="AH33" s="50" t="e">
        <f>FLOOR(#REF!,0.2)</f>
        <v>#REF!</v>
      </c>
      <c r="AJ33" s="12"/>
    </row>
    <row r="34" spans="5:52" ht="14.25" hidden="1" customHeight="1" x14ac:dyDescent="0.2">
      <c r="E34" s="13"/>
      <c r="G34" s="41">
        <v>2</v>
      </c>
      <c r="H34" s="41">
        <v>10</v>
      </c>
      <c r="I34" s="41">
        <v>6.8</v>
      </c>
      <c r="J34" s="39">
        <v>6.5</v>
      </c>
      <c r="K34" s="39"/>
      <c r="L34" s="39">
        <f t="shared" ref="L34:L36" si="10">J34+K34</f>
        <v>6.5</v>
      </c>
      <c r="M34" s="39">
        <f t="shared" ref="M34:M35" si="11">I34/5</f>
        <v>1.3599999999999999</v>
      </c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53"/>
      <c r="AC34" s="53"/>
      <c r="AD34" s="53"/>
      <c r="AE34" s="50"/>
      <c r="AF34" s="50"/>
      <c r="AG34" s="50"/>
      <c r="AH34" s="50" t="e">
        <f>FLOOR(#REF!,0.2)</f>
        <v>#REF!</v>
      </c>
      <c r="AJ34" s="12"/>
      <c r="AZ34" s="8"/>
    </row>
    <row r="35" spans="5:52" ht="14.25" hidden="1" customHeight="1" x14ac:dyDescent="0.2">
      <c r="E35" s="13"/>
      <c r="G35" s="41">
        <v>3</v>
      </c>
      <c r="H35" s="41">
        <v>10</v>
      </c>
      <c r="I35" s="41">
        <v>6.8</v>
      </c>
      <c r="J35" s="43">
        <v>6.6</v>
      </c>
      <c r="K35" s="43"/>
      <c r="L35" s="39">
        <f t="shared" si="10"/>
        <v>6.6</v>
      </c>
      <c r="M35" s="39">
        <f t="shared" si="11"/>
        <v>1.3599999999999999</v>
      </c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53"/>
      <c r="AC35" s="53"/>
      <c r="AD35" s="53"/>
      <c r="AE35" s="50"/>
      <c r="AF35" s="50"/>
      <c r="AG35" s="50"/>
      <c r="AH35" s="50" t="e">
        <f>FLOOR(#REF!,0.2)</f>
        <v>#REF!</v>
      </c>
      <c r="AJ35" s="12"/>
    </row>
    <row r="36" spans="5:52" ht="14.25" customHeight="1" x14ac:dyDescent="0.2">
      <c r="E36" s="13"/>
      <c r="G36" s="41">
        <v>84</v>
      </c>
      <c r="H36" s="41">
        <v>6.4</v>
      </c>
      <c r="I36" s="41">
        <v>5.5</v>
      </c>
      <c r="J36" s="74">
        <v>6.65</v>
      </c>
      <c r="K36" s="74">
        <v>0.3</v>
      </c>
      <c r="L36" s="41">
        <f t="shared" si="10"/>
        <v>6.95</v>
      </c>
      <c r="M36" s="40">
        <f>CALCULATION!M35</f>
        <v>1.1000000000000001</v>
      </c>
      <c r="N36" s="41">
        <v>32</v>
      </c>
      <c r="O36" s="41">
        <v>200</v>
      </c>
      <c r="P36" s="41">
        <v>32</v>
      </c>
      <c r="Q36" s="41">
        <v>200</v>
      </c>
      <c r="R36" s="41">
        <v>31</v>
      </c>
      <c r="S36" s="68">
        <f>CALCULATION!S35</f>
        <v>1.7843767929040779</v>
      </c>
      <c r="T36" s="41">
        <v>25</v>
      </c>
      <c r="U36" s="41">
        <v>200</v>
      </c>
      <c r="V36" s="41">
        <v>32</v>
      </c>
      <c r="W36" s="41">
        <v>200</v>
      </c>
      <c r="X36" s="41">
        <v>31</v>
      </c>
      <c r="Y36" s="78">
        <f>CALCULATION!Y35</f>
        <v>1.0415743511602753</v>
      </c>
      <c r="Z36" s="41">
        <v>3.7</v>
      </c>
      <c r="AA36" s="40">
        <f>CALCULATION!AA35</f>
        <v>3.25</v>
      </c>
      <c r="AB36" s="77">
        <f>CALCULATION!AB35</f>
        <v>0.87837837837837829</v>
      </c>
      <c r="AC36" s="77">
        <f>CALCULATION!AC35</f>
        <v>0.9422646449594595</v>
      </c>
      <c r="AD36" s="77">
        <f>CALCULATION!AD35</f>
        <v>0.38004674013364875</v>
      </c>
      <c r="AE36" s="78">
        <f>CALCULATION!AE35</f>
        <v>0.81011494306550524</v>
      </c>
      <c r="AF36" s="75">
        <f>CALCULATION!AF35</f>
        <v>0.8810938132905406</v>
      </c>
      <c r="AG36" s="68">
        <f>CALCULATION!AG35</f>
        <v>0.23201332749486492</v>
      </c>
      <c r="AH36" s="79">
        <f>CALCULATION!AH35</f>
        <v>0.8</v>
      </c>
      <c r="AJ36" s="12"/>
    </row>
    <row r="37" spans="5:52" ht="14.25" customHeight="1" x14ac:dyDescent="0.2">
      <c r="E37" s="13"/>
      <c r="G37" s="14"/>
      <c r="H37" s="42"/>
      <c r="I37" s="38"/>
      <c r="J37" s="95"/>
      <c r="K37" s="95"/>
      <c r="L37" s="38"/>
      <c r="M37" s="14"/>
      <c r="AI37" s="64"/>
      <c r="AJ37" s="12"/>
    </row>
    <row r="38" spans="5:52" ht="14.25" customHeight="1" x14ac:dyDescent="0.2">
      <c r="E38" s="13"/>
      <c r="G38" s="80" t="s">
        <v>80</v>
      </c>
      <c r="H38" s="81"/>
      <c r="I38" s="94"/>
      <c r="J38" s="38"/>
      <c r="K38" s="38"/>
      <c r="L38" s="38"/>
      <c r="M38" s="14"/>
      <c r="AI38" s="64"/>
      <c r="AJ38" s="12"/>
    </row>
    <row r="39" spans="5:52" ht="14.25" customHeight="1" x14ac:dyDescent="0.2">
      <c r="E39" s="13"/>
      <c r="H39" s="52"/>
      <c r="I39" s="38"/>
      <c r="J39" s="38"/>
      <c r="K39" s="38"/>
      <c r="AI39" s="64"/>
      <c r="AJ39" s="12"/>
      <c r="AK39" s="8"/>
      <c r="AL39" s="8"/>
    </row>
    <row r="40" spans="5:52" ht="14.25" customHeight="1" x14ac:dyDescent="0.2">
      <c r="E40" s="13"/>
      <c r="G40" s="31" t="s">
        <v>81</v>
      </c>
      <c r="H40" s="82"/>
      <c r="I40" s="83"/>
      <c r="J40" s="38"/>
      <c r="K40" s="38"/>
      <c r="Y40" s="14" t="s">
        <v>82</v>
      </c>
      <c r="AI40" s="64"/>
      <c r="AJ40" s="12"/>
      <c r="AK40" s="8"/>
      <c r="AL40" s="8"/>
    </row>
    <row r="41" spans="5:52" ht="35.450000000000003" customHeight="1" x14ac:dyDescent="0.2">
      <c r="E41" s="13"/>
      <c r="H41" s="42"/>
      <c r="I41" s="57"/>
      <c r="J41" s="33"/>
      <c r="K41" s="38"/>
      <c r="AI41" s="64"/>
      <c r="AJ41" s="12"/>
      <c r="AK41" s="8"/>
      <c r="AL41" s="8"/>
    </row>
    <row r="42" spans="5:52" ht="14.25" customHeight="1" x14ac:dyDescent="0.2">
      <c r="E42" s="13"/>
      <c r="G42" s="84" t="s">
        <v>83</v>
      </c>
      <c r="H42" s="42"/>
      <c r="I42" s="38"/>
      <c r="J42" s="38"/>
      <c r="K42" s="38"/>
      <c r="AI42" s="10"/>
      <c r="AJ42" s="12"/>
      <c r="AK42" s="8"/>
      <c r="AL42" s="8"/>
    </row>
    <row r="43" spans="5:52" ht="14.25" customHeight="1" x14ac:dyDescent="0.2">
      <c r="E43" s="13"/>
      <c r="G43" s="14"/>
      <c r="H43" s="42"/>
      <c r="I43" s="38"/>
      <c r="J43" s="38"/>
      <c r="K43" s="38"/>
      <c r="AI43" s="10"/>
      <c r="AJ43" s="12"/>
      <c r="AK43" s="8"/>
      <c r="AL43" s="8"/>
    </row>
    <row r="44" spans="5:52" ht="14.25" customHeight="1" x14ac:dyDescent="0.2">
      <c r="E44" s="13"/>
      <c r="G44" s="14"/>
      <c r="H44" s="42"/>
      <c r="I44" s="38"/>
      <c r="J44" s="38"/>
      <c r="K44" s="38"/>
      <c r="AI44" s="10"/>
      <c r="AJ44" s="12"/>
      <c r="AK44" s="8"/>
      <c r="AL44" s="8"/>
    </row>
    <row r="45" spans="5:52" ht="14.25" customHeight="1" x14ac:dyDescent="0.2">
      <c r="E45" s="13"/>
      <c r="G45" s="14"/>
      <c r="H45" s="42"/>
      <c r="I45" s="38"/>
      <c r="J45" s="38"/>
      <c r="K45" s="38"/>
      <c r="AI45" s="10"/>
      <c r="AJ45" s="12"/>
      <c r="AK45" s="8"/>
      <c r="AL45" s="8"/>
    </row>
    <row r="46" spans="5:52" ht="14.25" customHeight="1" x14ac:dyDescent="0.2">
      <c r="E46" s="13"/>
      <c r="G46" s="14"/>
      <c r="H46" s="42"/>
      <c r="I46" s="38"/>
      <c r="J46" s="38"/>
      <c r="K46" s="38"/>
      <c r="AI46" s="10"/>
      <c r="AJ46" s="12"/>
      <c r="AK46" s="8"/>
      <c r="AL46" s="8"/>
    </row>
    <row r="47" spans="5:52" ht="14.25" customHeight="1" x14ac:dyDescent="0.2">
      <c r="E47" s="13"/>
      <c r="G47" s="14"/>
      <c r="H47" s="14"/>
      <c r="I47" s="14"/>
      <c r="AI47" s="10"/>
      <c r="AJ47" s="12"/>
      <c r="AK47" s="8"/>
      <c r="AL47" s="8"/>
    </row>
    <row r="48" spans="5:52" ht="14.25" customHeight="1" x14ac:dyDescent="0.2">
      <c r="E48" s="13"/>
      <c r="G48" s="14"/>
      <c r="H48" s="14"/>
      <c r="I48" s="14"/>
      <c r="AI48" s="10"/>
      <c r="AJ48" s="12"/>
      <c r="AK48" s="8"/>
      <c r="AL48" s="8"/>
    </row>
    <row r="49" spans="5:38" ht="14.25" customHeight="1" x14ac:dyDescent="0.2">
      <c r="E49" s="13"/>
      <c r="G49" s="14"/>
      <c r="H49" s="14"/>
      <c r="I49" s="14"/>
      <c r="AI49" s="10"/>
      <c r="AJ49" s="12"/>
      <c r="AK49" s="8"/>
      <c r="AL49" s="8"/>
    </row>
    <row r="50" spans="5:38" ht="14.25" customHeight="1" x14ac:dyDescent="0.2">
      <c r="E50" s="13"/>
      <c r="G50" s="14"/>
      <c r="H50" s="14"/>
      <c r="I50" s="14"/>
      <c r="AI50" s="10"/>
      <c r="AJ50" s="12"/>
      <c r="AK50" s="8"/>
      <c r="AL50" s="8"/>
    </row>
    <row r="51" spans="5:38" ht="14.25" customHeight="1" x14ac:dyDescent="0.2">
      <c r="E51" s="13"/>
      <c r="G51" s="14"/>
      <c r="H51" s="14"/>
      <c r="I51" s="14"/>
      <c r="AI51" s="10"/>
      <c r="AJ51" s="12"/>
      <c r="AK51" s="8"/>
      <c r="AL51" s="8"/>
    </row>
    <row r="52" spans="5:38" ht="14.25" customHeight="1" x14ac:dyDescent="0.2">
      <c r="E52" s="13"/>
      <c r="G52" s="14"/>
      <c r="H52" s="14"/>
      <c r="I52" s="14"/>
      <c r="AI52" s="10"/>
      <c r="AJ52" s="12"/>
      <c r="AK52" s="8"/>
      <c r="AL52" s="8"/>
    </row>
    <row r="53" spans="5:38" ht="14.25" customHeight="1" x14ac:dyDescent="0.2">
      <c r="E53" s="13"/>
      <c r="G53" s="14"/>
      <c r="H53" s="14"/>
      <c r="I53" s="14"/>
      <c r="AI53" s="10"/>
      <c r="AJ53" s="12"/>
      <c r="AK53" s="8"/>
      <c r="AL53" s="8"/>
    </row>
  </sheetData>
  <sheetProtection insertColumns="0" deleteColumns="0"/>
  <mergeCells count="93">
    <mergeCell ref="AF5:AL5"/>
    <mergeCell ref="N2:Y2"/>
    <mergeCell ref="AF2:AL2"/>
    <mergeCell ref="AF3:AK3"/>
    <mergeCell ref="N4:Y4"/>
    <mergeCell ref="AF4:AL4"/>
    <mergeCell ref="N6:Y6"/>
    <mergeCell ref="AF6:AL6"/>
    <mergeCell ref="AF7:AL7"/>
    <mergeCell ref="A9:E10"/>
    <mergeCell ref="F9:H10"/>
    <mergeCell ref="I9:AD10"/>
    <mergeCell ref="V13:X13"/>
    <mergeCell ref="Y13:Z13"/>
    <mergeCell ref="AB13:AD13"/>
    <mergeCell ref="G14:H14"/>
    <mergeCell ref="I14:J14"/>
    <mergeCell ref="K14:M14"/>
    <mergeCell ref="N14:O14"/>
    <mergeCell ref="P14:R14"/>
    <mergeCell ref="S14:U14"/>
    <mergeCell ref="V14:X14"/>
    <mergeCell ref="G13:H13"/>
    <mergeCell ref="I13:J13"/>
    <mergeCell ref="K13:M13"/>
    <mergeCell ref="N13:O13"/>
    <mergeCell ref="P13:R13"/>
    <mergeCell ref="S13:U13"/>
    <mergeCell ref="Y14:Z14"/>
    <mergeCell ref="AB14:AD14"/>
    <mergeCell ref="AE14:AG14"/>
    <mergeCell ref="AH14:AI14"/>
    <mergeCell ref="G15:H15"/>
    <mergeCell ref="I15:J15"/>
    <mergeCell ref="K15:M15"/>
    <mergeCell ref="N15:O15"/>
    <mergeCell ref="P15:R15"/>
    <mergeCell ref="S15:U15"/>
    <mergeCell ref="G16:H16"/>
    <mergeCell ref="I16:J16"/>
    <mergeCell ref="K16:M16"/>
    <mergeCell ref="N16:O16"/>
    <mergeCell ref="P16:R16"/>
    <mergeCell ref="AE16:AG16"/>
    <mergeCell ref="AH16:AI16"/>
    <mergeCell ref="V15:X15"/>
    <mergeCell ref="Y15:Z15"/>
    <mergeCell ref="AB15:AD15"/>
    <mergeCell ref="AE15:AG15"/>
    <mergeCell ref="AH15:AI15"/>
    <mergeCell ref="S17:U17"/>
    <mergeCell ref="S16:U16"/>
    <mergeCell ref="V16:X16"/>
    <mergeCell ref="Y16:Z16"/>
    <mergeCell ref="AB16:AD16"/>
    <mergeCell ref="G17:H17"/>
    <mergeCell ref="I17:J17"/>
    <mergeCell ref="K17:M17"/>
    <mergeCell ref="N17:O17"/>
    <mergeCell ref="P17:R17"/>
    <mergeCell ref="G18:H18"/>
    <mergeCell ref="I18:J18"/>
    <mergeCell ref="K18:M18"/>
    <mergeCell ref="N18:O18"/>
    <mergeCell ref="P18:R18"/>
    <mergeCell ref="AE18:AG18"/>
    <mergeCell ref="AH18:AI18"/>
    <mergeCell ref="V17:X17"/>
    <mergeCell ref="Y17:Z17"/>
    <mergeCell ref="AB17:AD17"/>
    <mergeCell ref="AE17:AG17"/>
    <mergeCell ref="AH17:AI17"/>
    <mergeCell ref="S19:U19"/>
    <mergeCell ref="S18:U18"/>
    <mergeCell ref="V18:X18"/>
    <mergeCell ref="Y18:Z18"/>
    <mergeCell ref="AB18:AD18"/>
    <mergeCell ref="G19:H19"/>
    <mergeCell ref="I19:J19"/>
    <mergeCell ref="K19:M19"/>
    <mergeCell ref="N19:O19"/>
    <mergeCell ref="P19:R19"/>
    <mergeCell ref="AJ19:AL19"/>
    <mergeCell ref="V19:X19"/>
    <mergeCell ref="Y19:Z19"/>
    <mergeCell ref="AB19:AD19"/>
    <mergeCell ref="AE19:AG19"/>
    <mergeCell ref="AH19:AI19"/>
    <mergeCell ref="AJ14:AL14"/>
    <mergeCell ref="AJ15:AL15"/>
    <mergeCell ref="AJ16:AL16"/>
    <mergeCell ref="AJ17:AL17"/>
    <mergeCell ref="AJ18:AL18"/>
  </mergeCells>
  <printOptions horizontalCentered="1" verticalCentered="1"/>
  <pageMargins left="0" right="0" top="0" bottom="0" header="0" footer="0"/>
  <pageSetup paperSize="9" scale="46" orientation="landscape" r:id="rId1"/>
  <headerFooter>
    <oddHeader>&amp;L&amp;"Century Gothic"&amp;10&amp;K000000 Business&amp;1#_x000D_</oddHeader>
    <oddFooter>2</oddFooter>
  </headerFooter>
  <colBreaks count="1" manualBreakCount="1">
    <brk id="38" min="4" max="50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20940-E357-4576-A85D-075EBD680B7E}">
  <sheetPr>
    <pageSetUpPr fitToPage="1"/>
  </sheetPr>
  <dimension ref="A1:BF35"/>
  <sheetViews>
    <sheetView view="pageBreakPreview" topLeftCell="L15" zoomScale="90" zoomScaleNormal="140" zoomScaleSheetLayoutView="90" workbookViewId="0">
      <selection activeCell="AH31" sqref="AH31"/>
    </sheetView>
  </sheetViews>
  <sheetFormatPr defaultColWidth="2.7109375" defaultRowHeight="14.25" customHeight="1" x14ac:dyDescent="0.2"/>
  <cols>
    <col min="1" max="6" width="2.7109375" style="1"/>
    <col min="7" max="7" width="10.5703125" style="1" customWidth="1"/>
    <col min="8" max="8" width="10.42578125" style="1" customWidth="1"/>
    <col min="9" max="9" width="11.28515625" style="1" customWidth="1"/>
    <col min="10" max="10" width="9.42578125" style="1" customWidth="1"/>
    <col min="11" max="11" width="13.42578125" style="49" customWidth="1"/>
    <col min="12" max="12" width="15" style="49" customWidth="1"/>
    <col min="13" max="13" width="11.42578125" style="1" customWidth="1"/>
    <col min="14" max="14" width="11.5703125" style="1" customWidth="1"/>
    <col min="15" max="15" width="11.28515625" style="1" customWidth="1"/>
    <col min="16" max="16" width="9.42578125" style="1" customWidth="1"/>
    <col min="17" max="17" width="10.42578125" style="1" customWidth="1"/>
    <col min="18" max="18" width="10.140625" style="1" customWidth="1"/>
    <col min="19" max="19" width="8.28515625" style="1" customWidth="1"/>
    <col min="20" max="20" width="7.28515625" style="1" customWidth="1"/>
    <col min="21" max="21" width="8.28515625" style="1" customWidth="1"/>
    <col min="22" max="22" width="7.85546875" style="1" customWidth="1"/>
    <col min="23" max="23" width="7.28515625" style="1" customWidth="1"/>
    <col min="24" max="24" width="9.28515625" style="1" customWidth="1"/>
    <col min="25" max="25" width="11.42578125" style="1" customWidth="1"/>
    <col min="26" max="26" width="9.7109375" style="1" customWidth="1"/>
    <col min="27" max="27" width="10.7109375" style="1" customWidth="1"/>
    <col min="28" max="28" width="7.7109375" style="1" customWidth="1"/>
    <col min="29" max="29" width="12.140625" style="1" customWidth="1"/>
    <col min="30" max="30" width="7.7109375" style="1" customWidth="1"/>
    <col min="31" max="31" width="8.42578125" style="1" customWidth="1"/>
    <col min="32" max="32" width="7.42578125" style="1" customWidth="1"/>
    <col min="33" max="33" width="7.7109375" style="1" customWidth="1"/>
    <col min="34" max="34" width="8.28515625" style="1" customWidth="1"/>
    <col min="35" max="35" width="5.85546875" style="1" customWidth="1"/>
    <col min="36" max="36" width="12" style="1" customWidth="1"/>
    <col min="37" max="37" width="7.42578125" style="1" customWidth="1"/>
    <col min="38" max="38" width="9.42578125" style="1" customWidth="1"/>
    <col min="39" max="16384" width="2.7109375" style="1"/>
  </cols>
  <sheetData>
    <row r="1" spans="1:50" ht="14.25" customHeight="1" x14ac:dyDescent="0.25">
      <c r="A1" s="14"/>
      <c r="B1" s="14"/>
      <c r="C1" s="14"/>
      <c r="D1" s="14"/>
      <c r="E1" s="14"/>
      <c r="F1" s="14"/>
      <c r="G1" s="14"/>
      <c r="H1" s="14"/>
      <c r="I1" s="14"/>
      <c r="J1" s="14"/>
      <c r="K1" s="38"/>
      <c r="L1" s="45"/>
      <c r="M1" s="14"/>
      <c r="N1" s="15"/>
      <c r="O1" s="15"/>
      <c r="P1" s="18"/>
      <c r="Q1" s="18"/>
      <c r="R1" s="18"/>
      <c r="S1" s="18"/>
      <c r="T1" s="18"/>
      <c r="U1" s="18"/>
      <c r="V1" s="18"/>
      <c r="W1" s="18"/>
      <c r="X1" s="18"/>
      <c r="Y1" s="18"/>
      <c r="Z1" s="19"/>
      <c r="AA1" s="18"/>
      <c r="AB1" s="18"/>
      <c r="AC1" s="18"/>
      <c r="AD1" s="18"/>
      <c r="AE1" s="18"/>
      <c r="AF1" s="18"/>
      <c r="AG1" s="18"/>
      <c r="AH1" s="18"/>
      <c r="AI1" s="18"/>
      <c r="AJ1" s="17"/>
      <c r="AK1" s="17"/>
      <c r="AL1" s="14"/>
    </row>
    <row r="2" spans="1:50" ht="14.25" customHeight="1" x14ac:dyDescent="0.2">
      <c r="A2" s="14"/>
      <c r="B2" s="14"/>
      <c r="C2" s="14"/>
      <c r="D2" s="14"/>
      <c r="E2" s="14"/>
      <c r="F2" s="14"/>
      <c r="G2" s="14"/>
      <c r="H2" s="14"/>
      <c r="I2" s="14"/>
      <c r="J2" s="14"/>
      <c r="K2" s="38"/>
      <c r="L2" s="45"/>
      <c r="M2" s="14"/>
      <c r="N2" s="116" t="s">
        <v>0</v>
      </c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9"/>
      <c r="AA2" s="18"/>
      <c r="AB2" s="18" t="s">
        <v>1</v>
      </c>
      <c r="AC2" s="18"/>
      <c r="AD2" s="18"/>
      <c r="AE2" s="18"/>
      <c r="AF2" s="125" t="s">
        <v>2</v>
      </c>
      <c r="AG2" s="125"/>
      <c r="AH2" s="125"/>
      <c r="AI2" s="125"/>
      <c r="AJ2" s="125"/>
      <c r="AK2" s="125"/>
      <c r="AL2" s="125"/>
    </row>
    <row r="3" spans="1:50" ht="14.25" customHeight="1" x14ac:dyDescent="0.3">
      <c r="A3" s="14"/>
      <c r="B3" s="14"/>
      <c r="C3" s="14"/>
      <c r="D3" s="14"/>
      <c r="E3" s="14"/>
      <c r="F3" s="14"/>
      <c r="G3" s="14"/>
      <c r="H3" s="14"/>
      <c r="I3" s="14"/>
      <c r="J3" s="14"/>
      <c r="K3" s="38"/>
      <c r="L3" s="45"/>
      <c r="M3" s="14"/>
      <c r="N3" s="15"/>
      <c r="O3" s="15"/>
      <c r="P3" s="18"/>
      <c r="Q3" s="14"/>
      <c r="R3" s="14"/>
      <c r="S3" s="14"/>
      <c r="T3" s="14"/>
      <c r="U3" s="14"/>
      <c r="V3" s="14"/>
      <c r="W3" s="14"/>
      <c r="X3" s="14"/>
      <c r="Y3" s="14"/>
      <c r="Z3" s="19"/>
      <c r="AA3" s="18"/>
      <c r="AB3" s="18" t="s">
        <v>3</v>
      </c>
      <c r="AC3" s="18"/>
      <c r="AD3" s="18"/>
      <c r="AE3" s="18"/>
      <c r="AF3" s="126" t="s">
        <v>4</v>
      </c>
      <c r="AG3" s="126"/>
      <c r="AH3" s="126"/>
      <c r="AI3" s="126"/>
      <c r="AJ3" s="126"/>
      <c r="AK3" s="126"/>
      <c r="AL3" s="20"/>
    </row>
    <row r="4" spans="1:50" ht="14.25" customHeight="1" x14ac:dyDescent="0.2">
      <c r="A4" s="14"/>
      <c r="B4" s="30" t="s">
        <v>5</v>
      </c>
      <c r="C4" s="14"/>
      <c r="D4" s="14"/>
      <c r="E4" s="14"/>
      <c r="F4" s="14"/>
      <c r="G4" s="14"/>
      <c r="H4" s="14"/>
      <c r="I4" s="14"/>
      <c r="J4" s="14"/>
      <c r="K4" s="38"/>
      <c r="L4" s="45"/>
      <c r="M4" s="14"/>
      <c r="N4" s="116" t="s">
        <v>6</v>
      </c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9"/>
      <c r="AA4" s="18"/>
      <c r="AB4" s="18" t="s">
        <v>7</v>
      </c>
      <c r="AC4" s="18"/>
      <c r="AD4" s="18"/>
      <c r="AE4" s="18"/>
      <c r="AF4" s="116" t="s">
        <v>8</v>
      </c>
      <c r="AG4" s="116"/>
      <c r="AH4" s="116"/>
      <c r="AI4" s="116"/>
      <c r="AJ4" s="116"/>
      <c r="AK4" s="116"/>
      <c r="AL4" s="116"/>
    </row>
    <row r="5" spans="1:50" ht="14.25" customHeight="1" x14ac:dyDescent="0.2">
      <c r="A5" s="14"/>
      <c r="B5" s="30" t="s">
        <v>9</v>
      </c>
      <c r="C5" s="14"/>
      <c r="D5" s="14"/>
      <c r="E5" s="14"/>
      <c r="F5" s="14"/>
      <c r="G5" s="14"/>
      <c r="H5" s="14"/>
      <c r="I5" s="14"/>
      <c r="J5" s="14"/>
      <c r="K5" s="38"/>
      <c r="L5" s="45"/>
      <c r="M5" s="14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19"/>
      <c r="AA5" s="18"/>
      <c r="AB5" s="18" t="s">
        <v>10</v>
      </c>
      <c r="AC5" s="18"/>
      <c r="AD5" s="18"/>
      <c r="AE5" s="18"/>
      <c r="AF5" s="117">
        <v>45862</v>
      </c>
      <c r="AG5" s="117"/>
      <c r="AH5" s="117"/>
      <c r="AI5" s="117"/>
      <c r="AJ5" s="117"/>
      <c r="AK5" s="117"/>
      <c r="AL5" s="117"/>
    </row>
    <row r="6" spans="1:50" ht="14.25" customHeight="1" x14ac:dyDescent="0.2">
      <c r="A6" s="14"/>
      <c r="B6" s="30" t="s">
        <v>11</v>
      </c>
      <c r="C6" s="14"/>
      <c r="D6" s="14"/>
      <c r="E6" s="14"/>
      <c r="F6" s="14"/>
      <c r="G6" s="14"/>
      <c r="H6" s="14"/>
      <c r="I6" s="14"/>
      <c r="J6" s="14"/>
      <c r="K6" s="38"/>
      <c r="L6" s="45"/>
      <c r="M6" s="14"/>
      <c r="N6" s="116" t="s">
        <v>12</v>
      </c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9"/>
      <c r="AA6" s="18"/>
      <c r="AB6" s="18" t="s">
        <v>13</v>
      </c>
      <c r="AC6" s="18"/>
      <c r="AD6" s="18"/>
      <c r="AE6" s="18"/>
      <c r="AF6" s="116"/>
      <c r="AG6" s="116"/>
      <c r="AH6" s="116"/>
      <c r="AI6" s="116"/>
      <c r="AJ6" s="116"/>
      <c r="AK6" s="116"/>
      <c r="AL6" s="116"/>
    </row>
    <row r="7" spans="1:50" ht="14.25" customHeight="1" x14ac:dyDescent="0.2">
      <c r="A7" s="14"/>
      <c r="B7" s="30" t="s">
        <v>15</v>
      </c>
      <c r="C7" s="14"/>
      <c r="D7" s="14"/>
      <c r="E7" s="14"/>
      <c r="F7" s="14"/>
      <c r="G7" s="14"/>
      <c r="H7" s="14"/>
      <c r="I7" s="14"/>
      <c r="J7" s="14"/>
      <c r="K7" s="38"/>
      <c r="L7" s="45"/>
      <c r="M7" s="14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19"/>
      <c r="AA7" s="18"/>
      <c r="AB7" s="18" t="s">
        <v>10</v>
      </c>
      <c r="AC7" s="18"/>
      <c r="AD7" s="18"/>
      <c r="AE7" s="18"/>
      <c r="AF7" s="117"/>
      <c r="AG7" s="117"/>
      <c r="AH7" s="117"/>
      <c r="AI7" s="117"/>
      <c r="AJ7" s="117"/>
      <c r="AK7" s="117"/>
      <c r="AL7" s="117"/>
    </row>
    <row r="8" spans="1:50" ht="14.25" customHeight="1" thickBot="1" x14ac:dyDescent="0.3">
      <c r="A8" s="22"/>
      <c r="B8" s="22"/>
      <c r="C8" s="22"/>
      <c r="D8" s="22"/>
      <c r="E8" s="22"/>
      <c r="F8" s="22"/>
      <c r="G8" s="22"/>
      <c r="H8" s="22"/>
      <c r="I8" s="22"/>
      <c r="J8" s="22"/>
      <c r="K8" s="46"/>
      <c r="L8" s="47"/>
      <c r="M8" s="22"/>
      <c r="N8" s="22"/>
      <c r="O8" s="22"/>
      <c r="P8" s="23"/>
      <c r="Q8" s="23"/>
      <c r="R8" s="23"/>
      <c r="S8" s="23"/>
      <c r="T8" s="23"/>
      <c r="U8" s="23"/>
      <c r="V8" s="23"/>
      <c r="W8" s="23"/>
      <c r="X8" s="23"/>
      <c r="Y8" s="23"/>
      <c r="Z8" s="24"/>
      <c r="AA8" s="23"/>
      <c r="AB8" s="23"/>
      <c r="AC8" s="23"/>
      <c r="AD8" s="23"/>
      <c r="AE8" s="23"/>
      <c r="AF8" s="23"/>
      <c r="AG8" s="23"/>
      <c r="AH8" s="23"/>
      <c r="AI8" s="23"/>
      <c r="AJ8" s="17"/>
      <c r="AK8" s="17"/>
      <c r="AL8" s="17"/>
    </row>
    <row r="9" spans="1:50" ht="14.25" customHeight="1" thickTop="1" x14ac:dyDescent="0.25">
      <c r="A9" s="118" t="s">
        <v>16</v>
      </c>
      <c r="B9" s="118"/>
      <c r="C9" s="118"/>
      <c r="D9" s="118"/>
      <c r="E9" s="119"/>
      <c r="F9" s="122" t="s">
        <v>17</v>
      </c>
      <c r="G9" s="122"/>
      <c r="H9" s="122"/>
      <c r="I9" s="122" t="s">
        <v>18</v>
      </c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  <c r="AA9" s="122"/>
      <c r="AB9" s="122"/>
      <c r="AC9" s="122"/>
      <c r="AD9" s="122"/>
      <c r="AE9" s="25"/>
      <c r="AF9" s="25"/>
      <c r="AG9" s="25"/>
      <c r="AH9" s="25"/>
      <c r="AI9" s="26"/>
      <c r="AJ9" s="27"/>
      <c r="AK9" s="27"/>
      <c r="AL9" s="27"/>
    </row>
    <row r="10" spans="1:50" ht="14.25" customHeight="1" thickBot="1" x14ac:dyDescent="0.3">
      <c r="A10" s="120"/>
      <c r="B10" s="120"/>
      <c r="C10" s="120"/>
      <c r="D10" s="120"/>
      <c r="E10" s="121"/>
      <c r="F10" s="123"/>
      <c r="G10" s="124"/>
      <c r="H10" s="124"/>
      <c r="I10" s="124"/>
      <c r="J10" s="124"/>
      <c r="K10" s="124"/>
      <c r="L10" s="124"/>
      <c r="M10" s="124"/>
      <c r="N10" s="124"/>
      <c r="O10" s="124"/>
      <c r="P10" s="124"/>
      <c r="Q10" s="124"/>
      <c r="R10" s="124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16"/>
      <c r="AF10" s="16"/>
      <c r="AG10" s="16"/>
      <c r="AH10" s="16"/>
      <c r="AI10" s="28"/>
      <c r="AJ10" s="29"/>
      <c r="AK10" s="29"/>
      <c r="AL10" s="29"/>
    </row>
    <row r="11" spans="1:50" ht="14.25" customHeight="1" thickTop="1" x14ac:dyDescent="0.2">
      <c r="A11" s="2"/>
      <c r="B11" s="2"/>
      <c r="C11" s="2"/>
      <c r="D11" s="2"/>
      <c r="E11" s="3"/>
      <c r="F11" s="70"/>
      <c r="G11" s="5"/>
      <c r="H11" s="6"/>
      <c r="I11" s="6"/>
      <c r="J11" s="6"/>
      <c r="K11" s="48"/>
      <c r="L11" s="48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7"/>
      <c r="AJ11" s="4"/>
      <c r="AK11" s="4"/>
      <c r="AL11" s="4"/>
    </row>
    <row r="12" spans="1:50" ht="14.25" customHeight="1" x14ac:dyDescent="0.25">
      <c r="A12" s="8"/>
      <c r="B12" s="8"/>
      <c r="C12" s="8"/>
      <c r="D12" s="8"/>
      <c r="E12" s="13"/>
      <c r="F12" s="9"/>
      <c r="G12" s="14" t="s">
        <v>19</v>
      </c>
      <c r="H12" s="14"/>
      <c r="I12" s="31">
        <v>500</v>
      </c>
      <c r="J12" s="14" t="s">
        <v>20</v>
      </c>
      <c r="K12" s="38"/>
      <c r="L12" s="44"/>
      <c r="M12" s="21"/>
      <c r="N12" s="16" t="s">
        <v>21</v>
      </c>
      <c r="O12" s="21"/>
      <c r="P12" s="31">
        <f>205</f>
        <v>205</v>
      </c>
      <c r="Q12" s="16" t="s">
        <v>22</v>
      </c>
      <c r="R12" s="21"/>
      <c r="S12" s="15"/>
      <c r="T12" s="15"/>
      <c r="U12" s="15"/>
      <c r="V12" s="17"/>
      <c r="W12" s="21"/>
      <c r="X12" s="18"/>
      <c r="Y12" s="18"/>
      <c r="Z12" s="18"/>
      <c r="AA12" s="18"/>
      <c r="AB12" s="18"/>
      <c r="AC12" s="18"/>
      <c r="AD12" s="18"/>
      <c r="AE12" s="10"/>
      <c r="AF12" s="10"/>
      <c r="AG12" s="10"/>
      <c r="AH12" s="10"/>
      <c r="AI12" s="11"/>
      <c r="AJ12" s="9"/>
      <c r="AK12" s="58"/>
      <c r="AL12" s="58"/>
      <c r="AM12" s="33"/>
      <c r="AN12" s="33"/>
      <c r="AO12" s="33"/>
      <c r="AP12" s="36"/>
      <c r="AQ12" s="36"/>
      <c r="AR12" s="37"/>
      <c r="AS12" s="37"/>
      <c r="AT12" s="37"/>
      <c r="AU12" s="37"/>
      <c r="AV12" s="37"/>
      <c r="AW12" s="37"/>
      <c r="AX12" s="37"/>
    </row>
    <row r="13" spans="1:50" ht="27.2" customHeight="1" x14ac:dyDescent="0.2">
      <c r="A13" s="8"/>
      <c r="B13" s="8"/>
      <c r="C13" s="8"/>
      <c r="D13" s="8"/>
      <c r="E13" s="13"/>
      <c r="F13" s="9"/>
      <c r="G13" s="113" t="s">
        <v>23</v>
      </c>
      <c r="H13" s="113"/>
      <c r="I13" s="102" t="s">
        <v>24</v>
      </c>
      <c r="J13" s="102"/>
      <c r="K13" s="102" t="s">
        <v>25</v>
      </c>
      <c r="L13" s="102"/>
      <c r="M13" s="102"/>
      <c r="N13" s="114" t="s">
        <v>26</v>
      </c>
      <c r="O13" s="115"/>
      <c r="P13" s="113" t="s">
        <v>27</v>
      </c>
      <c r="Q13" s="113"/>
      <c r="R13" s="113"/>
      <c r="S13" s="113" t="s">
        <v>28</v>
      </c>
      <c r="T13" s="113"/>
      <c r="U13" s="113"/>
      <c r="V13" s="102" t="s">
        <v>29</v>
      </c>
      <c r="W13" s="102"/>
      <c r="X13" s="102"/>
      <c r="Y13" s="110" t="s">
        <v>30</v>
      </c>
      <c r="Z13" s="111"/>
      <c r="AA13" s="34" t="s">
        <v>31</v>
      </c>
      <c r="AB13" s="112" t="s">
        <v>32</v>
      </c>
      <c r="AC13" s="112"/>
      <c r="AD13" s="112"/>
      <c r="AE13" s="32" t="s">
        <v>33</v>
      </c>
      <c r="AF13" s="32"/>
      <c r="AG13" s="32"/>
      <c r="AH13" s="55" t="s">
        <v>34</v>
      </c>
      <c r="AI13" s="56"/>
      <c r="AJ13" s="61" t="s">
        <v>35</v>
      </c>
      <c r="AK13" s="61"/>
      <c r="AL13" s="55"/>
      <c r="AM13" s="103" t="s">
        <v>84</v>
      </c>
      <c r="AN13" s="103"/>
      <c r="AO13" s="103"/>
      <c r="AP13" s="103"/>
      <c r="AQ13" s="103"/>
      <c r="AR13" s="103"/>
      <c r="AS13" s="37"/>
      <c r="AT13" s="37"/>
      <c r="AU13" s="37"/>
      <c r="AV13" s="37"/>
      <c r="AW13" s="37"/>
    </row>
    <row r="14" spans="1:50" ht="14.25" customHeight="1" x14ac:dyDescent="0.2">
      <c r="A14" s="8"/>
      <c r="B14" s="8"/>
      <c r="C14" s="8"/>
      <c r="D14" s="8"/>
      <c r="E14" s="13"/>
      <c r="F14" s="9"/>
      <c r="G14" s="113" t="s">
        <v>36</v>
      </c>
      <c r="H14" s="113"/>
      <c r="I14" s="102" t="s">
        <v>37</v>
      </c>
      <c r="J14" s="102"/>
      <c r="K14" s="102" t="s">
        <v>38</v>
      </c>
      <c r="L14" s="102"/>
      <c r="M14" s="102"/>
      <c r="N14" s="114" t="s">
        <v>39</v>
      </c>
      <c r="O14" s="115"/>
      <c r="P14" s="113" t="s">
        <v>36</v>
      </c>
      <c r="Q14" s="113"/>
      <c r="R14" s="113"/>
      <c r="S14" s="113" t="s">
        <v>40</v>
      </c>
      <c r="T14" s="113"/>
      <c r="U14" s="113"/>
      <c r="V14" s="102" t="s">
        <v>41</v>
      </c>
      <c r="W14" s="102"/>
      <c r="X14" s="102"/>
      <c r="Y14" s="110" t="s">
        <v>42</v>
      </c>
      <c r="Z14" s="111"/>
      <c r="AA14" s="54" t="s">
        <v>42</v>
      </c>
      <c r="AB14" s="112" t="s">
        <v>42</v>
      </c>
      <c r="AC14" s="112"/>
      <c r="AD14" s="112"/>
      <c r="AE14" s="102">
        <v>12</v>
      </c>
      <c r="AF14" s="102"/>
      <c r="AG14" s="102"/>
      <c r="AH14" s="104">
        <v>0.88800000000000001</v>
      </c>
      <c r="AI14" s="109"/>
      <c r="AJ14" s="97">
        <f>AH14*9.81*1.35/1000</f>
        <v>1.1760228000000001E-2</v>
      </c>
      <c r="AK14" s="97"/>
      <c r="AL14" s="97"/>
      <c r="AM14" s="97">
        <f>AJ14*1.2</f>
        <v>1.4112273600000001E-2</v>
      </c>
      <c r="AN14" s="97"/>
      <c r="AO14" s="97"/>
      <c r="AP14" s="97"/>
      <c r="AQ14" s="97"/>
      <c r="AR14" s="97"/>
      <c r="AS14" s="37"/>
      <c r="AT14" s="37"/>
      <c r="AU14" s="37"/>
      <c r="AV14" s="37"/>
      <c r="AW14" s="37"/>
    </row>
    <row r="15" spans="1:50" ht="14.25" customHeight="1" x14ac:dyDescent="0.2">
      <c r="A15" s="8"/>
      <c r="B15" s="8"/>
      <c r="C15" s="8"/>
      <c r="D15" s="8"/>
      <c r="E15" s="13"/>
      <c r="F15" s="9"/>
      <c r="G15" s="102">
        <v>16</v>
      </c>
      <c r="H15" s="102"/>
      <c r="I15" s="98">
        <f>PI()*G15^2/4</f>
        <v>201.06192982974676</v>
      </c>
      <c r="J15" s="98"/>
      <c r="K15" s="98">
        <f>PI()*G15^4/64</f>
        <v>3216.9908772759482</v>
      </c>
      <c r="L15" s="98"/>
      <c r="M15" s="98"/>
      <c r="N15" s="105">
        <f>K15*$P$12/1000000</f>
        <v>0.65948312984156932</v>
      </c>
      <c r="O15" s="106"/>
      <c r="P15" s="107">
        <f t="shared" ref="P15:P19" si="0">(K15/I15)^0.5</f>
        <v>4</v>
      </c>
      <c r="Q15" s="107"/>
      <c r="R15" s="107"/>
      <c r="S15" s="108">
        <f>PI()*G15^3/32</f>
        <v>402.12385965949352</v>
      </c>
      <c r="T15" s="108"/>
      <c r="U15" s="108"/>
      <c r="V15" s="98">
        <f>G15^3/6</f>
        <v>682.66666666666663</v>
      </c>
      <c r="W15" s="98"/>
      <c r="X15" s="98"/>
      <c r="Y15" s="99">
        <f>($I$12/1.15)*S15/1000000</f>
        <v>0.17483646072151893</v>
      </c>
      <c r="Z15" s="100"/>
      <c r="AA15" s="35">
        <f>AB15/1.5</f>
        <v>0.1978743961352657</v>
      </c>
      <c r="AB15" s="101">
        <f>Y15*V15/S15</f>
        <v>0.29681159420289854</v>
      </c>
      <c r="AC15" s="101"/>
      <c r="AD15" s="101"/>
      <c r="AE15" s="102">
        <v>16</v>
      </c>
      <c r="AF15" s="102"/>
      <c r="AG15" s="102"/>
      <c r="AH15" s="104">
        <v>1.579</v>
      </c>
      <c r="AI15" s="109"/>
      <c r="AJ15" s="97">
        <f t="shared" ref="AJ15:AJ19" si="1">AH15*9.81*1.35/1000</f>
        <v>2.0911486500000003E-2</v>
      </c>
      <c r="AK15" s="97"/>
      <c r="AL15" s="97"/>
      <c r="AM15" s="97">
        <f t="shared" ref="AM15:AM19" si="2">AJ15*1.2</f>
        <v>2.5093783800000002E-2</v>
      </c>
      <c r="AN15" s="97"/>
      <c r="AO15" s="97"/>
      <c r="AP15" s="97"/>
      <c r="AQ15" s="97"/>
      <c r="AR15" s="97"/>
      <c r="AS15" s="37"/>
      <c r="AT15" s="37"/>
      <c r="AU15" s="37"/>
      <c r="AV15" s="37"/>
      <c r="AW15" s="37"/>
    </row>
    <row r="16" spans="1:50" ht="15" x14ac:dyDescent="0.2">
      <c r="A16" s="8"/>
      <c r="B16" s="8"/>
      <c r="C16" s="8"/>
      <c r="D16" s="8"/>
      <c r="E16" s="13"/>
      <c r="F16" s="9"/>
      <c r="G16" s="102">
        <v>20</v>
      </c>
      <c r="H16" s="102"/>
      <c r="I16" s="98">
        <f t="shared" ref="I16:I19" si="3">PI()*G16^2/4</f>
        <v>314.15926535897933</v>
      </c>
      <c r="J16" s="98"/>
      <c r="K16" s="98">
        <f t="shared" ref="K16:K19" si="4">PI()*G16^4/64</f>
        <v>7853.981633974483</v>
      </c>
      <c r="L16" s="98"/>
      <c r="M16" s="98"/>
      <c r="N16" s="105">
        <f t="shared" ref="N16:N19" si="5">K16*$P$12/1000000</f>
        <v>1.6100662349647692</v>
      </c>
      <c r="O16" s="106"/>
      <c r="P16" s="107">
        <f t="shared" si="0"/>
        <v>5</v>
      </c>
      <c r="Q16" s="107"/>
      <c r="R16" s="107"/>
      <c r="S16" s="108">
        <f t="shared" ref="S16:S19" si="6">PI()*G16^3/32</f>
        <v>785.39816339744823</v>
      </c>
      <c r="T16" s="108"/>
      <c r="U16" s="108"/>
      <c r="V16" s="98">
        <f t="shared" ref="V16:V19" si="7">G16^3/6</f>
        <v>1333.3333333333333</v>
      </c>
      <c r="W16" s="98"/>
      <c r="X16" s="98"/>
      <c r="Y16" s="99">
        <f t="shared" ref="Y16:Y19" si="8">($I$12/1.15)*S16/1000000</f>
        <v>0.34147746234671661</v>
      </c>
      <c r="Z16" s="100"/>
      <c r="AA16" s="35">
        <f t="shared" ref="AA16:AA19" si="9">AB16/1.5</f>
        <v>0.38647342995169076</v>
      </c>
      <c r="AB16" s="101">
        <f t="shared" ref="AB16:AB19" si="10">Y16*V16/S16</f>
        <v>0.57971014492753614</v>
      </c>
      <c r="AC16" s="101"/>
      <c r="AD16" s="101"/>
      <c r="AE16" s="102">
        <v>20</v>
      </c>
      <c r="AF16" s="102"/>
      <c r="AG16" s="102"/>
      <c r="AH16" s="104">
        <v>2.4660000000000002</v>
      </c>
      <c r="AI16" s="109"/>
      <c r="AJ16" s="97">
        <f t="shared" si="1"/>
        <v>3.2658471000000008E-2</v>
      </c>
      <c r="AK16" s="97"/>
      <c r="AL16" s="97"/>
      <c r="AM16" s="97">
        <f t="shared" si="2"/>
        <v>3.9190165200000009E-2</v>
      </c>
      <c r="AN16" s="97"/>
      <c r="AO16" s="97"/>
      <c r="AP16" s="97"/>
      <c r="AQ16" s="97"/>
      <c r="AR16" s="97"/>
      <c r="AS16" s="37"/>
      <c r="AT16" s="37"/>
      <c r="AU16" s="37"/>
      <c r="AV16" s="37"/>
      <c r="AW16" s="37"/>
    </row>
    <row r="17" spans="1:58" ht="15" x14ac:dyDescent="0.2">
      <c r="A17" s="8"/>
      <c r="B17" s="8"/>
      <c r="C17" s="8"/>
      <c r="D17" s="8"/>
      <c r="E17" s="13"/>
      <c r="F17" s="9"/>
      <c r="G17" s="102">
        <v>25</v>
      </c>
      <c r="H17" s="102"/>
      <c r="I17" s="98">
        <f t="shared" si="3"/>
        <v>490.87385212340519</v>
      </c>
      <c r="J17" s="98"/>
      <c r="K17" s="98">
        <f t="shared" si="4"/>
        <v>19174.759848570513</v>
      </c>
      <c r="L17" s="98"/>
      <c r="M17" s="98"/>
      <c r="N17" s="105">
        <f t="shared" si="5"/>
        <v>3.930825768956955</v>
      </c>
      <c r="O17" s="106"/>
      <c r="P17" s="107">
        <f t="shared" si="0"/>
        <v>6.2499999999999991</v>
      </c>
      <c r="Q17" s="107"/>
      <c r="R17" s="107"/>
      <c r="S17" s="108">
        <f t="shared" si="6"/>
        <v>1533.9807878856411</v>
      </c>
      <c r="T17" s="108"/>
      <c r="U17" s="108"/>
      <c r="V17" s="98">
        <f t="shared" si="7"/>
        <v>2604.1666666666665</v>
      </c>
      <c r="W17" s="98"/>
      <c r="X17" s="98"/>
      <c r="Y17" s="99">
        <f t="shared" si="8"/>
        <v>0.66694816864593098</v>
      </c>
      <c r="Z17" s="100"/>
      <c r="AA17" s="35">
        <f t="shared" si="9"/>
        <v>0.75483091787439616</v>
      </c>
      <c r="AB17" s="101">
        <f t="shared" si="10"/>
        <v>1.1322463768115942</v>
      </c>
      <c r="AC17" s="101"/>
      <c r="AD17" s="101"/>
      <c r="AE17" s="102">
        <v>25</v>
      </c>
      <c r="AF17" s="102"/>
      <c r="AG17" s="102"/>
      <c r="AH17" s="104">
        <v>3.8540000000000001</v>
      </c>
      <c r="AI17" s="109"/>
      <c r="AJ17" s="97">
        <f t="shared" si="1"/>
        <v>5.1040449000000009E-2</v>
      </c>
      <c r="AK17" s="97"/>
      <c r="AL17" s="97"/>
      <c r="AM17" s="97">
        <f t="shared" si="2"/>
        <v>6.1248538800000009E-2</v>
      </c>
      <c r="AN17" s="97"/>
      <c r="AO17" s="97"/>
      <c r="AP17" s="97"/>
      <c r="AQ17" s="97"/>
      <c r="AR17" s="97"/>
      <c r="AS17" s="37"/>
      <c r="AT17" s="37"/>
      <c r="AU17" s="37"/>
      <c r="AV17" s="37"/>
      <c r="AW17" s="37"/>
    </row>
    <row r="18" spans="1:58" ht="15" x14ac:dyDescent="0.2">
      <c r="A18" s="8"/>
      <c r="B18" s="8"/>
      <c r="C18" s="8"/>
      <c r="D18" s="8"/>
      <c r="E18" s="13"/>
      <c r="F18" s="9"/>
      <c r="G18" s="102">
        <v>32</v>
      </c>
      <c r="H18" s="102"/>
      <c r="I18" s="98">
        <f t="shared" si="3"/>
        <v>804.24771931898704</v>
      </c>
      <c r="J18" s="98"/>
      <c r="K18" s="98">
        <f t="shared" si="4"/>
        <v>51471.85403641517</v>
      </c>
      <c r="L18" s="98"/>
      <c r="M18" s="98"/>
      <c r="N18" s="105">
        <f t="shared" si="5"/>
        <v>10.551730077465109</v>
      </c>
      <c r="O18" s="106"/>
      <c r="P18" s="107">
        <f t="shared" si="0"/>
        <v>8</v>
      </c>
      <c r="Q18" s="107"/>
      <c r="R18" s="107"/>
      <c r="S18" s="108">
        <f t="shared" si="6"/>
        <v>3216.9908772759482</v>
      </c>
      <c r="T18" s="108"/>
      <c r="U18" s="108"/>
      <c r="V18" s="98">
        <f t="shared" si="7"/>
        <v>5461.333333333333</v>
      </c>
      <c r="W18" s="98"/>
      <c r="X18" s="98"/>
      <c r="Y18" s="99">
        <f t="shared" si="8"/>
        <v>1.3986916857721514</v>
      </c>
      <c r="Z18" s="100"/>
      <c r="AA18" s="35">
        <f t="shared" si="9"/>
        <v>1.5829951690821256</v>
      </c>
      <c r="AB18" s="101">
        <f t="shared" si="10"/>
        <v>2.3744927536231883</v>
      </c>
      <c r="AC18" s="101"/>
      <c r="AD18" s="101"/>
      <c r="AE18" s="102">
        <v>32</v>
      </c>
      <c r="AF18" s="102"/>
      <c r="AG18" s="102"/>
      <c r="AH18" s="103">
        <v>6.3129999999999997</v>
      </c>
      <c r="AI18" s="104"/>
      <c r="AJ18" s="97">
        <f t="shared" si="1"/>
        <v>8.3606215500000011E-2</v>
      </c>
      <c r="AK18" s="97"/>
      <c r="AL18" s="97"/>
      <c r="AM18" s="97">
        <f t="shared" si="2"/>
        <v>0.10032745860000002</v>
      </c>
      <c r="AN18" s="97"/>
      <c r="AO18" s="97"/>
      <c r="AP18" s="97"/>
      <c r="AQ18" s="97"/>
      <c r="AR18" s="97"/>
      <c r="AS18" s="37"/>
      <c r="AT18" s="37"/>
      <c r="AU18" s="37"/>
      <c r="AV18" s="37"/>
      <c r="AW18" s="37"/>
    </row>
    <row r="19" spans="1:58" ht="15" x14ac:dyDescent="0.2">
      <c r="A19" s="8"/>
      <c r="B19" s="8"/>
      <c r="C19" s="8"/>
      <c r="D19" s="8"/>
      <c r="E19" s="13"/>
      <c r="F19" s="9"/>
      <c r="G19" s="102">
        <v>40</v>
      </c>
      <c r="H19" s="102"/>
      <c r="I19" s="98">
        <f t="shared" si="3"/>
        <v>1256.6370614359173</v>
      </c>
      <c r="J19" s="98"/>
      <c r="K19" s="98">
        <f t="shared" si="4"/>
        <v>125663.70614359173</v>
      </c>
      <c r="L19" s="98"/>
      <c r="M19" s="98"/>
      <c r="N19" s="105">
        <f t="shared" si="5"/>
        <v>25.761059759436307</v>
      </c>
      <c r="O19" s="106"/>
      <c r="P19" s="107">
        <f t="shared" si="0"/>
        <v>10</v>
      </c>
      <c r="Q19" s="107"/>
      <c r="R19" s="107"/>
      <c r="S19" s="108">
        <f t="shared" si="6"/>
        <v>6283.1853071795858</v>
      </c>
      <c r="T19" s="108"/>
      <c r="U19" s="108"/>
      <c r="V19" s="98">
        <f t="shared" si="7"/>
        <v>10666.666666666666</v>
      </c>
      <c r="W19" s="98"/>
      <c r="X19" s="98"/>
      <c r="Y19" s="99">
        <f t="shared" si="8"/>
        <v>2.7318196987737329</v>
      </c>
      <c r="Z19" s="100"/>
      <c r="AA19" s="35">
        <f t="shared" si="9"/>
        <v>3.0917874396135261</v>
      </c>
      <c r="AB19" s="101">
        <f t="shared" si="10"/>
        <v>4.6376811594202891</v>
      </c>
      <c r="AC19" s="101"/>
      <c r="AD19" s="101"/>
      <c r="AE19" s="102">
        <v>40</v>
      </c>
      <c r="AF19" s="102"/>
      <c r="AG19" s="102"/>
      <c r="AH19" s="103">
        <v>9.8640000000000008</v>
      </c>
      <c r="AI19" s="104"/>
      <c r="AJ19" s="97">
        <f t="shared" si="1"/>
        <v>0.13063388400000003</v>
      </c>
      <c r="AK19" s="97"/>
      <c r="AL19" s="97"/>
      <c r="AM19" s="97">
        <f t="shared" si="2"/>
        <v>0.15676066080000003</v>
      </c>
      <c r="AN19" s="97"/>
      <c r="AO19" s="97"/>
      <c r="AP19" s="97"/>
      <c r="AQ19" s="97"/>
      <c r="AR19" s="97"/>
      <c r="AS19" s="37"/>
      <c r="AT19" s="37"/>
      <c r="AU19" s="37"/>
      <c r="AV19" s="37"/>
      <c r="AW19" s="37"/>
    </row>
    <row r="20" spans="1:58" ht="14.25" customHeight="1" x14ac:dyDescent="0.2">
      <c r="E20" s="13"/>
      <c r="G20" s="14"/>
      <c r="H20" s="14"/>
      <c r="I20" s="14"/>
      <c r="J20" s="14"/>
      <c r="K20" s="38"/>
      <c r="AI20" s="10"/>
      <c r="AJ20" s="59"/>
      <c r="AK20" s="60"/>
      <c r="AL20" s="60"/>
    </row>
    <row r="21" spans="1:58" ht="14.25" customHeight="1" x14ac:dyDescent="0.2">
      <c r="E21" s="13"/>
      <c r="G21" s="14"/>
      <c r="H21" s="14"/>
      <c r="I21" s="14"/>
      <c r="J21" s="14"/>
      <c r="K21" s="38"/>
      <c r="N21" s="14"/>
      <c r="P21" s="14" t="s">
        <v>43</v>
      </c>
      <c r="AI21" s="10"/>
      <c r="AJ21" s="12"/>
      <c r="AK21" s="8"/>
      <c r="AL21" s="8"/>
    </row>
    <row r="22" spans="1:58" ht="14.25" customHeight="1" x14ac:dyDescent="0.2">
      <c r="E22" s="13"/>
      <c r="G22" s="14"/>
      <c r="H22" s="14"/>
      <c r="I22" s="14"/>
      <c r="J22" s="14"/>
      <c r="K22" s="38"/>
      <c r="L22" s="14"/>
      <c r="M22" s="14"/>
      <c r="N22" s="14"/>
      <c r="O22" s="14"/>
      <c r="P22" s="38"/>
      <c r="AA22" s="14" t="s">
        <v>44</v>
      </c>
      <c r="AI22" s="10"/>
      <c r="AJ22" s="12"/>
      <c r="AK22" s="8"/>
      <c r="AL22" s="8"/>
    </row>
    <row r="23" spans="1:58" ht="14.25" customHeight="1" x14ac:dyDescent="0.2">
      <c r="E23" s="13"/>
      <c r="G23" s="14"/>
      <c r="H23" s="14"/>
      <c r="I23" s="14"/>
      <c r="J23" s="14"/>
      <c r="K23" s="38"/>
      <c r="L23" s="14"/>
      <c r="M23" s="14" t="s">
        <v>45</v>
      </c>
      <c r="N23" s="14"/>
      <c r="O23" s="14"/>
      <c r="P23" s="38"/>
      <c r="AE23" s="14" t="s">
        <v>46</v>
      </c>
      <c r="AI23" s="64"/>
      <c r="AJ23" s="12"/>
      <c r="AK23" s="8"/>
      <c r="AL23" s="8"/>
    </row>
    <row r="24" spans="1:58" ht="14.25" customHeight="1" x14ac:dyDescent="0.2">
      <c r="E24" s="13"/>
      <c r="G24" s="14"/>
      <c r="H24" s="14"/>
      <c r="I24" s="14"/>
      <c r="J24" s="14"/>
      <c r="K24" s="38"/>
      <c r="L24" s="14"/>
      <c r="M24" s="14"/>
      <c r="N24" s="14"/>
      <c r="O24" s="14"/>
      <c r="P24" s="38"/>
      <c r="V24" s="76"/>
      <c r="X24" s="38"/>
      <c r="AI24" s="64"/>
      <c r="AJ24" s="12"/>
      <c r="AK24" s="8"/>
      <c r="AL24" s="8"/>
    </row>
    <row r="25" spans="1:58" ht="14.25" customHeight="1" x14ac:dyDescent="0.2">
      <c r="E25" s="13"/>
      <c r="G25" s="14"/>
      <c r="H25" s="14"/>
      <c r="I25" s="14"/>
      <c r="J25" s="14" t="s">
        <v>47</v>
      </c>
      <c r="K25" s="38"/>
      <c r="L25" s="14"/>
      <c r="M25" s="14"/>
      <c r="N25" s="14"/>
      <c r="O25" s="14"/>
      <c r="P25" s="38"/>
      <c r="V25" s="76"/>
      <c r="AF25" s="65"/>
      <c r="AI25" s="64"/>
      <c r="AJ25" s="12"/>
      <c r="AK25" s="8"/>
      <c r="AL25" s="8"/>
    </row>
    <row r="26" spans="1:58" ht="14.25" customHeight="1" x14ac:dyDescent="0.2">
      <c r="E26" s="13"/>
      <c r="G26" s="14"/>
      <c r="H26" s="14"/>
      <c r="I26" s="14"/>
      <c r="J26" s="14"/>
      <c r="K26" s="38"/>
      <c r="L26" s="14"/>
      <c r="M26" s="14"/>
      <c r="N26" s="14"/>
      <c r="O26" s="14"/>
      <c r="P26" s="14"/>
      <c r="Q26" s="14"/>
      <c r="R26" s="14"/>
      <c r="S26" s="14"/>
      <c r="T26" s="38"/>
      <c r="U26" s="49"/>
      <c r="AF26" s="65"/>
      <c r="AI26" s="64"/>
      <c r="AJ26" s="12"/>
      <c r="AK26" s="8"/>
      <c r="AL26" s="8"/>
    </row>
    <row r="27" spans="1:58" ht="14.25" customHeight="1" x14ac:dyDescent="0.2">
      <c r="E27" s="13"/>
      <c r="G27" s="14"/>
      <c r="H27" s="14"/>
      <c r="I27" s="14"/>
      <c r="J27" s="14" t="s">
        <v>50</v>
      </c>
      <c r="K27" s="38"/>
      <c r="AF27" s="65"/>
      <c r="AI27" s="64"/>
      <c r="AJ27" s="12"/>
      <c r="AK27" s="8"/>
      <c r="AL27" s="8"/>
    </row>
    <row r="28" spans="1:58" ht="14.25" customHeight="1" x14ac:dyDescent="0.2">
      <c r="E28" s="13"/>
      <c r="G28" s="14"/>
      <c r="H28" s="14"/>
      <c r="I28" s="14"/>
      <c r="J28" s="14"/>
      <c r="K28" s="38"/>
      <c r="AF28" s="65"/>
      <c r="AI28" s="64"/>
      <c r="AJ28" s="12"/>
      <c r="AK28" s="8"/>
      <c r="AL28" s="8"/>
    </row>
    <row r="29" spans="1:58" ht="14.25" customHeight="1" x14ac:dyDescent="0.2">
      <c r="E29" s="13"/>
      <c r="G29" s="14" t="s">
        <v>51</v>
      </c>
      <c r="H29" s="14"/>
      <c r="I29" s="14"/>
      <c r="AI29" s="64"/>
      <c r="AJ29" s="12"/>
      <c r="AK29" s="8"/>
      <c r="AL29" s="8"/>
    </row>
    <row r="30" spans="1:58" ht="14.25" customHeight="1" thickBot="1" x14ac:dyDescent="0.25">
      <c r="E30" s="13"/>
      <c r="G30" s="14"/>
      <c r="H30" s="14"/>
      <c r="I30" s="14"/>
      <c r="AH30" s="10"/>
      <c r="AI30" s="64"/>
      <c r="AJ30" s="12"/>
      <c r="AK30" s="8"/>
      <c r="AL30" s="8"/>
    </row>
    <row r="31" spans="1:58" ht="59.85" customHeight="1" thickBot="1" x14ac:dyDescent="0.25">
      <c r="E31" s="13"/>
      <c r="G31" s="86" t="s">
        <v>52</v>
      </c>
      <c r="H31" s="86" t="s">
        <v>53</v>
      </c>
      <c r="I31" s="87" t="s">
        <v>54</v>
      </c>
      <c r="J31" s="86" t="s">
        <v>55</v>
      </c>
      <c r="K31" s="88" t="s">
        <v>56</v>
      </c>
      <c r="L31" s="88" t="s">
        <v>57</v>
      </c>
      <c r="M31" s="89" t="s">
        <v>58</v>
      </c>
      <c r="N31" s="85" t="s">
        <v>59</v>
      </c>
      <c r="O31" s="85" t="s">
        <v>60</v>
      </c>
      <c r="P31" s="85" t="s">
        <v>61</v>
      </c>
      <c r="Q31" s="85" t="s">
        <v>62</v>
      </c>
      <c r="R31" s="85" t="s">
        <v>63</v>
      </c>
      <c r="S31" s="85" t="s">
        <v>85</v>
      </c>
      <c r="T31" s="85" t="s">
        <v>65</v>
      </c>
      <c r="U31" s="85" t="s">
        <v>66</v>
      </c>
      <c r="V31" s="85" t="s">
        <v>67</v>
      </c>
      <c r="W31" s="90" t="s">
        <v>68</v>
      </c>
      <c r="X31" s="85" t="s">
        <v>69</v>
      </c>
      <c r="Y31" s="85" t="s">
        <v>86</v>
      </c>
      <c r="Z31" s="91" t="s">
        <v>71</v>
      </c>
      <c r="AA31" s="91" t="s">
        <v>72</v>
      </c>
      <c r="AB31" s="91" t="s">
        <v>73</v>
      </c>
      <c r="AC31" s="92" t="s">
        <v>74</v>
      </c>
      <c r="AD31" s="92" t="s">
        <v>75</v>
      </c>
      <c r="AE31" s="92" t="s">
        <v>87</v>
      </c>
      <c r="AF31" s="92" t="s">
        <v>77</v>
      </c>
      <c r="AG31" s="92" t="s">
        <v>78</v>
      </c>
      <c r="AH31" s="86" t="s">
        <v>88</v>
      </c>
      <c r="AI31" s="93" t="s">
        <v>89</v>
      </c>
      <c r="AJ31" s="93" t="s">
        <v>90</v>
      </c>
      <c r="AL31" s="64"/>
      <c r="AM31" s="12"/>
      <c r="AN31" s="8"/>
      <c r="AO31" s="8"/>
      <c r="BE31" s="8"/>
      <c r="BF31" s="8"/>
    </row>
    <row r="32" spans="1:58" ht="14.25" hidden="1" customHeight="1" x14ac:dyDescent="0.2">
      <c r="E32" s="13"/>
      <c r="G32" s="41">
        <v>1</v>
      </c>
      <c r="H32" s="41">
        <v>9</v>
      </c>
      <c r="I32" s="41">
        <v>6.8</v>
      </c>
      <c r="J32" s="39">
        <v>7.1</v>
      </c>
      <c r="K32" s="43"/>
      <c r="L32" s="39">
        <f>J32+K32</f>
        <v>7.1</v>
      </c>
      <c r="M32" s="39">
        <f>I32/5</f>
        <v>1.3599999999999999</v>
      </c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62"/>
      <c r="Y32" s="62"/>
      <c r="Z32" s="62"/>
      <c r="AA32" s="62"/>
      <c r="AB32" s="66"/>
      <c r="AC32" s="53"/>
      <c r="AD32" s="53"/>
      <c r="AE32" s="50"/>
      <c r="AF32" s="50"/>
      <c r="AG32" s="50"/>
      <c r="AH32" s="50" t="e">
        <f>FLOOR(#REF!,0.2)</f>
        <v>#REF!</v>
      </c>
      <c r="AI32" s="51" t="e">
        <f>(1.143*#REF!*M32)+1.143*M32*(0.084*(AH32/0.2))</f>
        <v>#REF!</v>
      </c>
      <c r="AJ32" s="51" t="e">
        <f>L32*9.81*1.35*1.3*AH32/H32</f>
        <v>#REF!</v>
      </c>
      <c r="AL32" s="64"/>
      <c r="AM32" s="12"/>
      <c r="AN32" s="8"/>
      <c r="AO32" s="8"/>
    </row>
    <row r="33" spans="5:57" ht="14.25" hidden="1" customHeight="1" x14ac:dyDescent="0.2">
      <c r="E33" s="13"/>
      <c r="G33" s="41">
        <v>2</v>
      </c>
      <c r="H33" s="41">
        <v>10</v>
      </c>
      <c r="I33" s="41">
        <v>6.8</v>
      </c>
      <c r="J33" s="39">
        <v>6.5</v>
      </c>
      <c r="K33" s="39"/>
      <c r="L33" s="39">
        <f t="shared" ref="L33:L34" si="11">J33+K33</f>
        <v>6.5</v>
      </c>
      <c r="M33" s="39">
        <f t="shared" ref="M33:M35" si="12">I33/5</f>
        <v>1.3599999999999999</v>
      </c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53"/>
      <c r="AC33" s="53"/>
      <c r="AD33" s="53"/>
      <c r="AE33" s="50"/>
      <c r="AF33" s="50"/>
      <c r="AG33" s="50"/>
      <c r="AH33" s="50" t="e">
        <f>FLOOR(#REF!,0.2)</f>
        <v>#REF!</v>
      </c>
      <c r="AI33" s="51" t="e">
        <f>(1.143*#REF!*M33)+1.143*M33*(0.084*(AH33/0.2))</f>
        <v>#REF!</v>
      </c>
      <c r="AJ33" s="51" t="e">
        <f>L33*9.81*1.35*1.3*AH33/H33</f>
        <v>#REF!</v>
      </c>
      <c r="AL33" s="64"/>
      <c r="AM33" s="12"/>
      <c r="AN33" s="8"/>
      <c r="AO33" s="8"/>
      <c r="BE33" s="8"/>
    </row>
    <row r="34" spans="5:57" ht="14.25" hidden="1" customHeight="1" x14ac:dyDescent="0.2">
      <c r="E34" s="13"/>
      <c r="G34" s="41">
        <v>3</v>
      </c>
      <c r="H34" s="41">
        <v>10</v>
      </c>
      <c r="I34" s="41">
        <v>6.8</v>
      </c>
      <c r="J34" s="43">
        <v>6.6</v>
      </c>
      <c r="K34" s="43"/>
      <c r="L34" s="39">
        <f t="shared" si="11"/>
        <v>6.6</v>
      </c>
      <c r="M34" s="39">
        <f t="shared" si="12"/>
        <v>1.3599999999999999</v>
      </c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53"/>
      <c r="AC34" s="53"/>
      <c r="AD34" s="53"/>
      <c r="AE34" s="50"/>
      <c r="AF34" s="50"/>
      <c r="AG34" s="50"/>
      <c r="AH34" s="50" t="e">
        <f>FLOOR(#REF!,0.2)</f>
        <v>#REF!</v>
      </c>
      <c r="AI34" s="51" t="e">
        <f>(1.143*#REF!*M34)+1.143*M34*(0.084*(AH34/0.2))</f>
        <v>#REF!</v>
      </c>
      <c r="AJ34" s="51" t="e">
        <f>L34*9.81*1.35*1.3*AH34/H34</f>
        <v>#REF!</v>
      </c>
      <c r="AL34" s="64"/>
      <c r="AM34" s="12"/>
      <c r="AN34" s="8"/>
      <c r="AO34" s="8"/>
    </row>
    <row r="35" spans="5:57" ht="14.25" customHeight="1" x14ac:dyDescent="0.2">
      <c r="E35" s="13"/>
      <c r="G35" s="41">
        <f>'INPUT SPAN RESULTS'!G36</f>
        <v>84</v>
      </c>
      <c r="H35" s="41">
        <f>'INPUT SPAN RESULTS'!H36</f>
        <v>6.4</v>
      </c>
      <c r="I35" s="41">
        <f>'INPUT SPAN RESULTS'!I36</f>
        <v>5.5</v>
      </c>
      <c r="J35" s="41">
        <f>'INPUT SPAN RESULTS'!J36</f>
        <v>6.65</v>
      </c>
      <c r="K35" s="41">
        <f>'INPUT SPAN RESULTS'!K36</f>
        <v>0.3</v>
      </c>
      <c r="L35" s="41">
        <f>'INPUT SPAN RESULTS'!L36</f>
        <v>6.95</v>
      </c>
      <c r="M35" s="40">
        <f t="shared" si="12"/>
        <v>1.1000000000000001</v>
      </c>
      <c r="N35" s="41">
        <f>'INPUT SPAN RESULTS'!N36</f>
        <v>32</v>
      </c>
      <c r="O35" s="41">
        <f>'INPUT SPAN RESULTS'!O36</f>
        <v>200</v>
      </c>
      <c r="P35" s="41">
        <f>'INPUT SPAN RESULTS'!P36</f>
        <v>32</v>
      </c>
      <c r="Q35" s="41">
        <f>'INPUT SPAN RESULTS'!Q36</f>
        <v>200</v>
      </c>
      <c r="R35" s="41">
        <f>'INPUT SPAN RESULTS'!R36</f>
        <v>31</v>
      </c>
      <c r="S35" s="75">
        <f>VLOOKUP(N35,$G$15:$AA$19,21,FALSE)/(((VLOOKUP(N35,$AE$14:$AR$19,9,FALSE)*(1000/O35))+(VLOOKUP(P35,$AE$14:$AR$19,9,FALSE)*(R35/I35)))*1.1*0.0694*((I35*0.6)^2))</f>
        <v>1.7843767929040779</v>
      </c>
      <c r="T35" s="41">
        <f>'INPUT SPAN RESULTS'!T36</f>
        <v>25</v>
      </c>
      <c r="U35" s="41">
        <f>'INPUT SPAN RESULTS'!U36</f>
        <v>200</v>
      </c>
      <c r="V35" s="41">
        <f>'INPUT SPAN RESULTS'!V36</f>
        <v>32</v>
      </c>
      <c r="W35" s="41">
        <f>'INPUT SPAN RESULTS'!W36</f>
        <v>200</v>
      </c>
      <c r="X35" s="41">
        <f>'INPUT SPAN RESULTS'!X36</f>
        <v>31</v>
      </c>
      <c r="Y35" s="75">
        <f>VLOOKUP(T35,$G$15:$AA$19,21,FALSE)/(((VLOOKUP(T35,$AE$14:$AR$19,9,FALSE)*(1000/U35))+(VLOOKUP(V35,$AE$14:$AR$19,9,FALSE)*(X35/I35)))*1.1*0.0694*((I35*0.6)^2))</f>
        <v>1.0415743511602753</v>
      </c>
      <c r="Z35" s="41">
        <f>'INPUT SPAN RESULTS'!Z36</f>
        <v>3.7</v>
      </c>
      <c r="AA35" s="41">
        <f>L35-Z35</f>
        <v>3.25</v>
      </c>
      <c r="AB35" s="77">
        <f>AA35/Z35</f>
        <v>0.87837837837837829</v>
      </c>
      <c r="AC35" s="63">
        <f>(VLOOKUP(N35,$AE$14:$AL$19,6,FALSE)+VLOOKUP(P35,$AE$14:$AL$19,6,FALSE)*(1/(Q35/1000)))*(1+AB35)</f>
        <v>0.9422646449594595</v>
      </c>
      <c r="AD35" s="63">
        <f>VLOOKUP(N35,$AE$14:$AL$19,6,FALSE)*(1/(O35/1000)-1)*(M35/2)*1.1*(1+AB35)</f>
        <v>0.38004674013364875</v>
      </c>
      <c r="AE35" s="68">
        <f>(VLOOKUP(N35,$G$15:$AD$19,21,FALSE))/(1.1*((AD35*M35)+(AG35*M35)+(AF35*M35^2/2)+(AC35*M35^2)/2))</f>
        <v>0.81011494306550524</v>
      </c>
      <c r="AF35" s="71">
        <f>(VLOOKUP(T35,$AE$14:$AL$19,6,FALSE)+VLOOKUP(V35,$AE$14:$AL$19,6,FALSE)*(1/(W35/1000)))*(1+AB35)</f>
        <v>0.8810938132905406</v>
      </c>
      <c r="AG35" s="72">
        <f>(VLOOKUP(T35,$AE$14:$AL$19,6,FALSE)*(1/(U35/1000)-1)*((M35/2)*1.1))*(1+AB35)</f>
        <v>0.23201332749486492</v>
      </c>
      <c r="AH35" s="67">
        <f t="shared" ref="AH35" si="13">FLOOR(AE35,0.1)</f>
        <v>0.8</v>
      </c>
      <c r="AI35" s="69">
        <f>((VLOOKUP(N35,$AE$14:$AL$19,6,FALSE)*(1/(O35/1000))+(VLOOKUP(P35,$AE$14:$AL$19,6,FALSE)*(1/(Q35/1000))))*(1+AB35)+2.466)*M35*AH35*1.1</f>
        <v>3.9072749605345956</v>
      </c>
      <c r="AJ35" s="73">
        <f>L35*9.81*1.35*1.3*AH35*1.1/H35</f>
        <v>16.452565593750002</v>
      </c>
      <c r="AL35" s="64"/>
      <c r="AM35" s="12"/>
      <c r="AN35" s="8"/>
      <c r="AO35" s="8"/>
    </row>
  </sheetData>
  <sheetProtection algorithmName="SHA-512" hashValue="tSY5wUJbiciyHhdHsSvKvHPjAttJ35fbFNxgBL/Ni5gzn04zSojFHAXEgysqhAvwJUZaVzAw03iXykkLkroCbQ==" saltValue="+657ewHm8S4o+h7THpdHtA==" spinCount="100000" sheet="1" insertColumns="0" deleteColumns="0"/>
  <mergeCells count="100">
    <mergeCell ref="AM18:AR18"/>
    <mergeCell ref="AM19:AR19"/>
    <mergeCell ref="AM13:AR13"/>
    <mergeCell ref="AM14:AR14"/>
    <mergeCell ref="AM15:AR15"/>
    <mergeCell ref="AM16:AR16"/>
    <mergeCell ref="AM17:AR17"/>
    <mergeCell ref="AF5:AL5"/>
    <mergeCell ref="N2:Y2"/>
    <mergeCell ref="AF2:AL2"/>
    <mergeCell ref="AF3:AK3"/>
    <mergeCell ref="N4:Y4"/>
    <mergeCell ref="AF4:AL4"/>
    <mergeCell ref="N6:Y6"/>
    <mergeCell ref="AF6:AL6"/>
    <mergeCell ref="AF7:AL7"/>
    <mergeCell ref="A9:E10"/>
    <mergeCell ref="F9:H10"/>
    <mergeCell ref="I9:AD10"/>
    <mergeCell ref="V13:X13"/>
    <mergeCell ref="Y13:Z13"/>
    <mergeCell ref="AB13:AD13"/>
    <mergeCell ref="G14:H14"/>
    <mergeCell ref="I14:J14"/>
    <mergeCell ref="K14:M14"/>
    <mergeCell ref="N14:O14"/>
    <mergeCell ref="P14:R14"/>
    <mergeCell ref="S14:U14"/>
    <mergeCell ref="V14:X14"/>
    <mergeCell ref="G13:H13"/>
    <mergeCell ref="I13:J13"/>
    <mergeCell ref="K13:M13"/>
    <mergeCell ref="N13:O13"/>
    <mergeCell ref="P13:R13"/>
    <mergeCell ref="S13:U13"/>
    <mergeCell ref="G15:H15"/>
    <mergeCell ref="I15:J15"/>
    <mergeCell ref="K15:M15"/>
    <mergeCell ref="N15:O15"/>
    <mergeCell ref="P15:R15"/>
    <mergeCell ref="Y14:Z14"/>
    <mergeCell ref="AB14:AD14"/>
    <mergeCell ref="AE14:AG14"/>
    <mergeCell ref="AH14:AI14"/>
    <mergeCell ref="AJ14:AL14"/>
    <mergeCell ref="AJ15:AL15"/>
    <mergeCell ref="G16:H16"/>
    <mergeCell ref="I16:J16"/>
    <mergeCell ref="K16:M16"/>
    <mergeCell ref="N16:O16"/>
    <mergeCell ref="P16:R16"/>
    <mergeCell ref="S16:U16"/>
    <mergeCell ref="V16:X16"/>
    <mergeCell ref="Y16:Z16"/>
    <mergeCell ref="AB16:AD16"/>
    <mergeCell ref="S15:U15"/>
    <mergeCell ref="V15:X15"/>
    <mergeCell ref="Y15:Z15"/>
    <mergeCell ref="AB15:AD15"/>
    <mergeCell ref="AE15:AG15"/>
    <mergeCell ref="AH15:AI15"/>
    <mergeCell ref="AE16:AG16"/>
    <mergeCell ref="AH16:AI16"/>
    <mergeCell ref="AJ16:AL16"/>
    <mergeCell ref="G17:H17"/>
    <mergeCell ref="I17:J17"/>
    <mergeCell ref="K17:M17"/>
    <mergeCell ref="N17:O17"/>
    <mergeCell ref="P17:R17"/>
    <mergeCell ref="S17:U17"/>
    <mergeCell ref="V17:X17"/>
    <mergeCell ref="AJ17:AL17"/>
    <mergeCell ref="G18:H18"/>
    <mergeCell ref="I18:J18"/>
    <mergeCell ref="K18:M18"/>
    <mergeCell ref="N18:O18"/>
    <mergeCell ref="P18:R18"/>
    <mergeCell ref="AB18:AD18"/>
    <mergeCell ref="AE18:AG18"/>
    <mergeCell ref="AH18:AI18"/>
    <mergeCell ref="Y17:Z17"/>
    <mergeCell ref="AB17:AD17"/>
    <mergeCell ref="AE17:AG17"/>
    <mergeCell ref="AH17:AI17"/>
    <mergeCell ref="AE19:AG19"/>
    <mergeCell ref="AH19:AI19"/>
    <mergeCell ref="AJ19:AL19"/>
    <mergeCell ref="AJ18:AL18"/>
    <mergeCell ref="G19:H19"/>
    <mergeCell ref="I19:J19"/>
    <mergeCell ref="K19:M19"/>
    <mergeCell ref="N19:O19"/>
    <mergeCell ref="P19:R19"/>
    <mergeCell ref="S19:U19"/>
    <mergeCell ref="V19:X19"/>
    <mergeCell ref="Y19:Z19"/>
    <mergeCell ref="AB19:AD19"/>
    <mergeCell ref="S18:U18"/>
    <mergeCell ref="V18:X18"/>
    <mergeCell ref="Y18:Z18"/>
  </mergeCells>
  <printOptions horizontalCentered="1" verticalCentered="1"/>
  <pageMargins left="0" right="0" top="0" bottom="0" header="0" footer="0"/>
  <pageSetup paperSize="9" scale="43" orientation="landscape" r:id="rId1"/>
  <headerFooter>
    <oddHeader>&amp;L&amp;"Century Gothic"&amp;10&amp;K000000 Business&amp;1#_x000D_</oddHeader>
    <oddFooter>2</oddFooter>
  </headerFooter>
  <colBreaks count="1" manualBreakCount="1">
    <brk id="38" max="38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ef8ed37-b154-475c-853b-6a24a15e75e1">
      <Terms xmlns="http://schemas.microsoft.com/office/infopath/2007/PartnerControls"/>
    </lcf76f155ced4ddcb4097134ff3c332f>
    <Status xmlns="1ef8ed37-b154-475c-853b-6a24a15e75e1" xsi:nil="true"/>
    <TaxCatchAll xmlns="a2f812ef-9683-4d27-a31c-fadb3996cbb1" xsi:nil="true"/>
    <IncludeonBylorTWCR xmlns="1ef8ed37-b154-475c-853b-6a24a15e75e1">false</IncludeonBylorTWCR>
    <Expires xmlns="1ef8ed37-b154-475c-853b-6a24a15e75e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21EBBF3102194A8287DFCF4FE5C174" ma:contentTypeVersion="19" ma:contentTypeDescription="Create a new document." ma:contentTypeScope="" ma:versionID="7696c2fcf3b68ce9f052d7fc665b67db">
  <xsd:schema xmlns:xsd="http://www.w3.org/2001/XMLSchema" xmlns:xs="http://www.w3.org/2001/XMLSchema" xmlns:p="http://schemas.microsoft.com/office/2006/metadata/properties" xmlns:ns2="1ef8ed37-b154-475c-853b-6a24a15e75e1" xmlns:ns3="a2f812ef-9683-4d27-a31c-fadb3996cbb1" targetNamespace="http://schemas.microsoft.com/office/2006/metadata/properties" ma:root="true" ma:fieldsID="86c9d0dfbc50923007277b4055a69de1" ns2:_="" ns3:_="">
    <xsd:import namespace="1ef8ed37-b154-475c-853b-6a24a15e75e1"/>
    <xsd:import namespace="a2f812ef-9683-4d27-a31c-fadb3996cb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Status" minOccurs="0"/>
                <xsd:element ref="ns2:IncludeonBylorTWCR" minOccurs="0"/>
                <xsd:element ref="ns2:MediaServiceSearchProperties" minOccurs="0"/>
                <xsd:element ref="ns2:MediaServiceBillingMetadata" minOccurs="0"/>
                <xsd:element ref="ns2:Expir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f8ed37-b154-475c-853b-6a24a15e75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cb160364-55e1-4895-b5f8-0b200ced27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Status" ma:index="22" nillable="true" ma:displayName="Status" ma:format="Dropdown" ma:internalName="Status">
      <xsd:simpleType>
        <xsd:union memberTypes="dms:Text">
          <xsd:simpleType>
            <xsd:restriction base="dms:Choice">
              <xsd:enumeration value="Draft"/>
              <xsd:enumeration value="Approved"/>
              <xsd:enumeration value="Under Review"/>
            </xsd:restriction>
          </xsd:simpleType>
        </xsd:union>
      </xsd:simpleType>
    </xsd:element>
    <xsd:element name="IncludeonBylorTWCR" ma:index="23" nillable="true" ma:displayName="Include on Bylor TWCR" ma:default="0" ma:format="Dropdown" ma:internalName="IncludeonBylorTWCR">
      <xsd:simpleType>
        <xsd:restriction base="dms:Boolea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Expires" ma:index="26" nillable="true" ma:displayName="Expires" ma:format="DateOnly" ma:internalName="Expires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f812ef-9683-4d27-a31c-fadb3996cbb1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b72e0c8c-1669-4877-8dbf-3bedeeb2432b}" ma:internalName="TaxCatchAll" ma:showField="CatchAllData" ma:web="a2f812ef-9683-4d27-a31c-fadb3996cb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876199F-E633-429C-84B1-4955401CBA0A}">
  <ds:schemaRefs>
    <ds:schemaRef ds:uri="http://schemas.microsoft.com/office/2006/metadata/properties"/>
    <ds:schemaRef ds:uri="http://schemas.microsoft.com/office/infopath/2007/PartnerControls"/>
    <ds:schemaRef ds:uri="1ef8ed37-b154-475c-853b-6a24a15e75e1"/>
    <ds:schemaRef ds:uri="a2f812ef-9683-4d27-a31c-fadb3996cbb1"/>
  </ds:schemaRefs>
</ds:datastoreItem>
</file>

<file path=customXml/itemProps2.xml><?xml version="1.0" encoding="utf-8"?>
<ds:datastoreItem xmlns:ds="http://schemas.openxmlformats.org/officeDocument/2006/customXml" ds:itemID="{7A42207A-F282-4A12-A104-981AD7AF30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7CC2FE6-5CFD-4E89-A5B6-21330B01DF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f8ed37-b154-475c-853b-6a24a15e75e1"/>
    <ds:schemaRef ds:uri="a2f812ef-9683-4d27-a31c-fadb3996cb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47f41cc9-f9f5-4116-a8cf-c7b5d298908f}" enabled="1" method="Privileged" siteId="{95baa318-b818-4676-8a0f-5a95a646c3c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INPUT SPAN RESULTS</vt:lpstr>
      <vt:lpstr>CALCULATION</vt:lpstr>
      <vt:lpstr>CALCULATION!Print_Area</vt:lpstr>
      <vt:lpstr>'INPUT SPAN RESULTS'!Print_Area</vt:lpstr>
    </vt:vector>
  </TitlesOfParts>
  <Manager/>
  <Company>Laing O'Rourke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Meades, Peter</dc:creator>
  <cp:keywords/>
  <dc:description/>
  <cp:lastModifiedBy>Sinha, Ashish</cp:lastModifiedBy>
  <cp:revision/>
  <dcterms:created xsi:type="dcterms:W3CDTF">2017-05-26T10:37:24Z</dcterms:created>
  <dcterms:modified xsi:type="dcterms:W3CDTF">2026-03-23T09:45:09Z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0x0101000921EBBF3102194A8287DFCF4FE5C174</vt:lpwstr>
  </property>
  <property fmtid="{D5CDD505-2E9C-101B-9397-08002B2CF9AE}" pid="3" name="MSIP_Label_47f41cc9-f9f5-4116-a8cf-c7b5d298908f_Enabled">
    <vt:lpwstr>true</vt:lpwstr>
  </property>
  <property fmtid="{D5CDD505-2E9C-101B-9397-08002B2CF9AE}" pid="4" name="MSIP_Label_47f41cc9-f9f5-4116-a8cf-c7b5d298908f_SetDate">
    <vt:lpwstr>2024-11-26T11:32:32Z</vt:lpwstr>
  </property>
  <property fmtid="{D5CDD505-2E9C-101B-9397-08002B2CF9AE}" pid="5" name="MSIP_Label_47f41cc9-f9f5-4116-a8cf-c7b5d298908f_Method">
    <vt:lpwstr>Privileged</vt:lpwstr>
  </property>
  <property fmtid="{D5CDD505-2E9C-101B-9397-08002B2CF9AE}" pid="6" name="MSIP_Label_47f41cc9-f9f5-4116-a8cf-c7b5d298908f_Name">
    <vt:lpwstr>Business</vt:lpwstr>
  </property>
  <property fmtid="{D5CDD505-2E9C-101B-9397-08002B2CF9AE}" pid="7" name="MSIP_Label_47f41cc9-f9f5-4116-a8cf-c7b5d298908f_SiteId">
    <vt:lpwstr>95baa318-b818-4676-8a0f-5a95a646c3c1</vt:lpwstr>
  </property>
  <property fmtid="{D5CDD505-2E9C-101B-9397-08002B2CF9AE}" pid="8" name="MSIP_Label_47f41cc9-f9f5-4116-a8cf-c7b5d298908f_ActionId">
    <vt:lpwstr>edb06b18-4847-49a0-9036-c5db33728ba9</vt:lpwstr>
  </property>
  <property fmtid="{D5CDD505-2E9C-101B-9397-08002B2CF9AE}" pid="9" name="MSIP_Label_47f41cc9-f9f5-4116-a8cf-c7b5d298908f_ContentBits">
    <vt:lpwstr>1</vt:lpwstr>
  </property>
  <property fmtid="{D5CDD505-2E9C-101B-9397-08002B2CF9AE}" pid="10" name="MediaServiceImageTags">
    <vt:lpwstr/>
  </property>
</Properties>
</file>